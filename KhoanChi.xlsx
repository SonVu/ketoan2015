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My Documents\"/>
    </mc:Choice>
  </mc:AlternateContent>
  <bookViews>
    <workbookView xWindow="0" yWindow="0" windowWidth="20490" windowHeight="7905" activeTab="2"/>
  </bookViews>
  <sheets>
    <sheet name="Thanh toan che tuoi" sheetId="1" r:id="rId1"/>
    <sheet name="Che tuoi" sheetId="5" r:id="rId2"/>
    <sheet name="Thanh toan khac" sheetId="3" r:id="rId3"/>
    <sheet name="Khoan thu" sheetId="4" r:id="rId4"/>
  </sheets>
  <definedNames>
    <definedName name="_xlnm._FilterDatabase" localSheetId="1" hidden="1">'Che tuoi'!$B$1:$H$1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8" i="3" l="1"/>
  <c r="E47" i="3"/>
  <c r="D49" i="3"/>
  <c r="E30" i="4"/>
  <c r="E21" i="3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374" i="1"/>
  <c r="C374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332" i="1"/>
  <c r="C330" i="1" l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285" i="1"/>
  <c r="C285" i="1"/>
  <c r="E287" i="1"/>
  <c r="E235" i="1"/>
  <c r="E249" i="1"/>
  <c r="C249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38" i="1"/>
  <c r="E239" i="1"/>
  <c r="E240" i="1"/>
  <c r="E241" i="1"/>
  <c r="E242" i="1"/>
  <c r="E243" i="1"/>
  <c r="E244" i="1"/>
  <c r="E245" i="1"/>
  <c r="E246" i="1"/>
  <c r="E247" i="1"/>
  <c r="E248" i="1"/>
  <c r="E237" i="1"/>
  <c r="C23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15" i="1"/>
  <c r="E330" i="1" l="1"/>
  <c r="C276" i="5"/>
  <c r="E258" i="5"/>
  <c r="E259" i="5"/>
  <c r="E260" i="5"/>
  <c r="E261" i="5"/>
  <c r="E276" i="5" s="1"/>
  <c r="E277" i="5" s="1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57" i="5"/>
  <c r="C255" i="5" l="1"/>
  <c r="E243" i="5"/>
  <c r="E236" i="5"/>
  <c r="C233" i="5"/>
  <c r="E237" i="5"/>
  <c r="E238" i="5"/>
  <c r="E239" i="5"/>
  <c r="E240" i="5"/>
  <c r="E241" i="5"/>
  <c r="E242" i="5"/>
  <c r="E244" i="5"/>
  <c r="E245" i="5"/>
  <c r="E246" i="5"/>
  <c r="E247" i="5"/>
  <c r="E248" i="5"/>
  <c r="E249" i="5"/>
  <c r="E250" i="5"/>
  <c r="E251" i="5"/>
  <c r="E252" i="5"/>
  <c r="E253" i="5"/>
  <c r="E254" i="5"/>
  <c r="E235" i="5"/>
  <c r="E255" i="5" s="1"/>
  <c r="E218" i="5" l="1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17" i="5"/>
  <c r="E233" i="5" l="1"/>
  <c r="F213" i="5"/>
  <c r="E209" i="5"/>
  <c r="E210" i="5"/>
  <c r="E211" i="5"/>
  <c r="E212" i="5"/>
  <c r="E213" i="5"/>
  <c r="E214" i="5"/>
  <c r="E208" i="5"/>
  <c r="E146" i="5" l="1"/>
  <c r="E3" i="3" l="1"/>
  <c r="E4" i="3" s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D206" i="5"/>
  <c r="C206" i="5"/>
  <c r="C192" i="5"/>
  <c r="E189" i="5"/>
  <c r="E190" i="5"/>
  <c r="E191" i="5"/>
  <c r="E123" i="5"/>
  <c r="E122" i="5"/>
  <c r="E100" i="5"/>
  <c r="E103" i="5"/>
  <c r="E102" i="5"/>
  <c r="E204" i="5"/>
  <c r="E203" i="5"/>
  <c r="E202" i="5"/>
  <c r="E201" i="5"/>
  <c r="E200" i="5"/>
  <c r="E199" i="5"/>
  <c r="E198" i="5"/>
  <c r="E174" i="5"/>
  <c r="E197" i="5"/>
  <c r="E196" i="5"/>
  <c r="E195" i="5"/>
  <c r="E194" i="5"/>
  <c r="E193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3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6" i="5"/>
  <c r="E155" i="5"/>
  <c r="E154" i="5"/>
  <c r="E153" i="5"/>
  <c r="E152" i="5"/>
  <c r="E151" i="5"/>
  <c r="E150" i="5"/>
  <c r="E149" i="5"/>
  <c r="E148" i="5"/>
  <c r="E147" i="5"/>
  <c r="E145" i="5"/>
  <c r="E144" i="5"/>
  <c r="E143" i="5"/>
  <c r="E101" i="5"/>
  <c r="E127" i="5"/>
  <c r="E141" i="5"/>
  <c r="C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6" i="5"/>
  <c r="E125" i="5"/>
  <c r="E121" i="5"/>
  <c r="E99" i="5"/>
  <c r="E120" i="5"/>
  <c r="E119" i="5"/>
  <c r="E118" i="5"/>
  <c r="E117" i="5"/>
  <c r="E116" i="5"/>
  <c r="E115" i="5"/>
  <c r="E114" i="5"/>
  <c r="E113" i="5"/>
  <c r="E112" i="5"/>
  <c r="E98" i="5"/>
  <c r="E111" i="5"/>
  <c r="E110" i="5"/>
  <c r="E109" i="5"/>
  <c r="E108" i="5"/>
  <c r="E107" i="5"/>
  <c r="E106" i="5"/>
  <c r="E72" i="5"/>
  <c r="E97" i="5"/>
  <c r="E96" i="5"/>
  <c r="E95" i="5"/>
  <c r="E94" i="5"/>
  <c r="E93" i="5"/>
  <c r="E92" i="5"/>
  <c r="E71" i="5"/>
  <c r="E51" i="5"/>
  <c r="E29" i="5"/>
  <c r="E90" i="5"/>
  <c r="E89" i="5"/>
  <c r="E88" i="5"/>
  <c r="E70" i="5"/>
  <c r="E87" i="5"/>
  <c r="E69" i="5"/>
  <c r="E86" i="5"/>
  <c r="E85" i="5"/>
  <c r="E84" i="5"/>
  <c r="E83" i="5"/>
  <c r="E82" i="5"/>
  <c r="E81" i="5"/>
  <c r="E80" i="5"/>
  <c r="E79" i="5"/>
  <c r="E78" i="5"/>
  <c r="E77" i="5"/>
  <c r="E76" i="5"/>
  <c r="E50" i="5"/>
  <c r="E49" i="5"/>
  <c r="E28" i="5"/>
  <c r="E27" i="5"/>
  <c r="E75" i="5"/>
  <c r="E74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26" i="5"/>
  <c r="E25" i="5"/>
  <c r="E24" i="5"/>
  <c r="E23" i="5"/>
  <c r="E22" i="5"/>
  <c r="E21" i="5"/>
  <c r="E20" i="5"/>
  <c r="E19" i="5"/>
  <c r="E18" i="5"/>
  <c r="E17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3" i="4"/>
  <c r="E4" i="4" s="1"/>
  <c r="E5" i="4" s="1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157" i="5" l="1"/>
  <c r="E142" i="5"/>
  <c r="E206" i="5"/>
  <c r="E192" i="5"/>
  <c r="E175" i="5"/>
  <c r="E124" i="5"/>
  <c r="E30" i="5"/>
  <c r="E52" i="5"/>
  <c r="E73" i="5"/>
  <c r="E91" i="5"/>
  <c r="E104" i="5"/>
  <c r="E16" i="5"/>
  <c r="E140" i="5"/>
  <c r="D15" i="1"/>
  <c r="C15" i="1"/>
  <c r="D27" i="1"/>
  <c r="C27" i="1"/>
  <c r="D47" i="1"/>
  <c r="C47" i="1"/>
  <c r="D65" i="1"/>
  <c r="C65" i="1"/>
  <c r="D93" i="1"/>
  <c r="C93" i="1"/>
  <c r="D102" i="1"/>
  <c r="C102" i="1"/>
  <c r="D124" i="1"/>
  <c r="C124" i="1"/>
  <c r="D128" i="1"/>
  <c r="C128" i="1"/>
  <c r="D147" i="1"/>
  <c r="C147" i="1"/>
  <c r="D163" i="1"/>
  <c r="C163" i="1"/>
  <c r="D180" i="1"/>
  <c r="C180" i="1"/>
  <c r="D195" i="1"/>
  <c r="C195" i="1"/>
  <c r="D211" i="1"/>
  <c r="C211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52" i="1"/>
  <c r="E50" i="1"/>
  <c r="E51" i="1"/>
  <c r="E53" i="1"/>
  <c r="E54" i="1"/>
  <c r="E55" i="1"/>
  <c r="E56" i="1"/>
  <c r="E57" i="1"/>
  <c r="E58" i="1"/>
  <c r="E59" i="1"/>
  <c r="E60" i="1"/>
  <c r="E61" i="1"/>
  <c r="E62" i="1"/>
  <c r="E63" i="1"/>
  <c r="E64" i="1"/>
  <c r="E4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29" i="1"/>
  <c r="E26" i="1"/>
  <c r="E18" i="1"/>
  <c r="E19" i="1"/>
  <c r="E20" i="1"/>
  <c r="E21" i="1"/>
  <c r="E22" i="1"/>
  <c r="E23" i="1"/>
  <c r="E24" i="1"/>
  <c r="E25" i="1"/>
  <c r="E17" i="1"/>
  <c r="E9" i="1"/>
  <c r="E4" i="1"/>
  <c r="E5" i="1"/>
  <c r="E6" i="1"/>
  <c r="E7" i="1"/>
  <c r="E8" i="1"/>
  <c r="E10" i="1"/>
  <c r="E11" i="1"/>
  <c r="E12" i="1"/>
  <c r="E13" i="1"/>
  <c r="E14" i="1"/>
  <c r="E3" i="1"/>
  <c r="E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82" i="1"/>
  <c r="E179" i="1"/>
  <c r="E178" i="1"/>
  <c r="E174" i="1"/>
  <c r="E166" i="1"/>
  <c r="E167" i="1"/>
  <c r="E168" i="1"/>
  <c r="E169" i="1"/>
  <c r="E170" i="1"/>
  <c r="E171" i="1"/>
  <c r="E172" i="1"/>
  <c r="E173" i="1"/>
  <c r="E175" i="1"/>
  <c r="E176" i="1"/>
  <c r="E177" i="1"/>
  <c r="E165" i="1"/>
  <c r="E162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49" i="1"/>
  <c r="E140" i="1"/>
  <c r="E131" i="1"/>
  <c r="E132" i="1"/>
  <c r="E133" i="1"/>
  <c r="E134" i="1"/>
  <c r="E135" i="1"/>
  <c r="E136" i="1"/>
  <c r="E137" i="1"/>
  <c r="E138" i="1"/>
  <c r="E139" i="1"/>
  <c r="E141" i="1"/>
  <c r="E143" i="1"/>
  <c r="E144" i="1"/>
  <c r="E145" i="1"/>
  <c r="E146" i="1"/>
  <c r="E130" i="1"/>
  <c r="C142" i="1"/>
  <c r="E142" i="1" s="1"/>
  <c r="E127" i="1"/>
  <c r="E126" i="1"/>
  <c r="E111" i="1"/>
  <c r="E106" i="1"/>
  <c r="E107" i="1"/>
  <c r="E108" i="1"/>
  <c r="E109" i="1"/>
  <c r="E110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05" i="1"/>
  <c r="E95" i="1"/>
  <c r="E96" i="1"/>
  <c r="E97" i="1"/>
  <c r="E98" i="1"/>
  <c r="E99" i="1"/>
  <c r="E100" i="1"/>
  <c r="E101" i="1"/>
  <c r="E102" i="1" l="1"/>
  <c r="E15" i="1"/>
  <c r="E124" i="1"/>
  <c r="E195" i="1"/>
  <c r="E147" i="1"/>
  <c r="E128" i="1"/>
  <c r="E180" i="1"/>
  <c r="E65" i="1"/>
  <c r="E47" i="1"/>
  <c r="E27" i="1"/>
  <c r="E163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89" i="1"/>
  <c r="E90" i="1"/>
  <c r="E91" i="1"/>
  <c r="E92" i="1"/>
  <c r="E197" i="1"/>
  <c r="E85" i="1"/>
  <c r="E86" i="1"/>
  <c r="E87" i="1"/>
  <c r="E88" i="1"/>
  <c r="E211" i="1" l="1"/>
  <c r="E93" i="1"/>
</calcChain>
</file>

<file path=xl/sharedStrings.xml><?xml version="1.0" encoding="utf-8"?>
<sst xmlns="http://schemas.openxmlformats.org/spreadsheetml/2006/main" count="96" uniqueCount="55">
  <si>
    <t>Tổng cộng</t>
  </si>
  <si>
    <t>Ngày</t>
  </si>
  <si>
    <t>Người giao</t>
  </si>
  <si>
    <t>Số tiền</t>
  </si>
  <si>
    <t>Lũy kế</t>
  </si>
  <si>
    <t>Toản</t>
  </si>
  <si>
    <t>Số lượng</t>
  </si>
  <si>
    <t>Đơn giá</t>
  </si>
  <si>
    <t>Thành tiền</t>
  </si>
  <si>
    <t>Chênh lệch</t>
  </si>
  <si>
    <t>Ngày mua</t>
  </si>
  <si>
    <t>Ghi chú</t>
  </si>
  <si>
    <t>Ngày thanh toán</t>
  </si>
  <si>
    <t>Sổ chú Luận không có</t>
  </si>
  <si>
    <t>Chưa có trong sổ thanh toán</t>
  </si>
  <si>
    <t>Chú L</t>
  </si>
  <si>
    <t>Lý do chi</t>
  </si>
  <si>
    <t>Mua sổ</t>
  </si>
  <si>
    <t>Tiền bao bì</t>
  </si>
  <si>
    <t>T/T công Quyết</t>
  </si>
  <si>
    <t>Tấm lợp</t>
  </si>
  <si>
    <t>K+</t>
  </si>
  <si>
    <t>Đinh</t>
  </si>
  <si>
    <t>Tiền ăn CN</t>
  </si>
  <si>
    <t>Rác gỗ</t>
  </si>
  <si>
    <t>Bốc vác</t>
  </si>
  <si>
    <t>Thẻ Vina</t>
  </si>
  <si>
    <t>Chú Lực ứng tiền</t>
  </si>
  <si>
    <t>Sunlight</t>
  </si>
  <si>
    <t>Giá nhựa</t>
  </si>
  <si>
    <t>Dây curoa</t>
  </si>
  <si>
    <t>.</t>
  </si>
  <si>
    <t>Của bà Sen ngày 7/6</t>
  </si>
  <si>
    <t>Trả nợ chú L</t>
  </si>
  <si>
    <t>Sổ Chú L 17 63</t>
  </si>
  <si>
    <t>15/6</t>
  </si>
  <si>
    <t>Gửi mẫu</t>
  </si>
  <si>
    <t>Khóa</t>
  </si>
  <si>
    <t>Pin</t>
  </si>
  <si>
    <t>Sắt</t>
  </si>
  <si>
    <t>Sơn</t>
  </si>
  <si>
    <t>Mì</t>
  </si>
  <si>
    <t>Bia</t>
  </si>
  <si>
    <t>Que hàn</t>
  </si>
  <si>
    <t>Thuốc lá</t>
  </si>
  <si>
    <t>Diện thoại bàn</t>
  </si>
  <si>
    <t>Lương ca Vui</t>
  </si>
  <si>
    <t>Lương ca Học</t>
  </si>
  <si>
    <t>Bút</t>
  </si>
  <si>
    <t>Chè BQ</t>
  </si>
  <si>
    <t>Bánh xe nâu</t>
  </si>
  <si>
    <t>Dầu máy</t>
  </si>
  <si>
    <t>Lương CN sàng 7 tấn + 1 công</t>
  </si>
  <si>
    <t>Phấn</t>
  </si>
  <si>
    <t>Dầu gội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</si>
</sst>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\ &quot;₫&quot;"/>
    <numFmt numFmtId="165" formatCode="[$-101042A]d\ mmm\ yy;@"/>
    <numFmt numFmtId="166" formatCode="#,##0.0"/>
  </numFmts>
  <fonts count="5" x14ac:knownFonts="1">
    <font>
      <sz val="11"/>
      <color theme="1"/>
      <name val="Calibri"/>
      <family val="2"/>
      <charset val="163"/>
      <scheme val="minor"/>
    </font>
    <font>
      <sz val="14"/>
      <color theme="1"/>
      <name val="Calibri"/>
      <family val="2"/>
      <charset val="163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163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3" fontId="1" fillId="0" borderId="2" xfId="0" applyNumberFormat="1" applyFont="1" applyBorder="1" applyAlignment="1">
      <alignment horizontal="left" vertical="center"/>
    </xf>
    <xf numFmtId="3" fontId="1" fillId="0" borderId="4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3" fontId="2" fillId="0" borderId="6" xfId="0" applyNumberFormat="1" applyFont="1" applyBorder="1" applyAlignment="1">
      <alignment horizontal="center" vertical="center"/>
    </xf>
    <xf numFmtId="3" fontId="2" fillId="0" borderId="7" xfId="0" applyNumberFormat="1" applyFont="1" applyBorder="1" applyAlignment="1">
      <alignment horizontal="center" vertical="center"/>
    </xf>
    <xf numFmtId="3" fontId="2" fillId="0" borderId="7" xfId="0" applyNumberFormat="1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3" fontId="1" fillId="0" borderId="0" xfId="0" applyNumberFormat="1" applyFont="1" applyBorder="1" applyAlignment="1">
      <alignment horizontal="left" vertical="center"/>
    </xf>
    <xf numFmtId="3" fontId="3" fillId="0" borderId="0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16" fontId="1" fillId="0" borderId="0" xfId="0" applyNumberFormat="1" applyFont="1" applyBorder="1" applyAlignment="1">
      <alignment horizontal="left" vertical="center"/>
    </xf>
    <xf numFmtId="164" fontId="3" fillId="0" borderId="0" xfId="0" applyNumberFormat="1" applyFont="1" applyBorder="1" applyAlignment="1">
      <alignment horizontal="left" vertical="center"/>
    </xf>
    <xf numFmtId="3" fontId="2" fillId="0" borderId="0" xfId="0" applyNumberFormat="1" applyFont="1" applyBorder="1" applyAlignment="1">
      <alignment horizontal="left" vertical="center"/>
    </xf>
    <xf numFmtId="3" fontId="1" fillId="0" borderId="3" xfId="0" applyNumberFormat="1" applyFont="1" applyBorder="1" applyAlignment="1">
      <alignment horizontal="left" vertical="center"/>
    </xf>
    <xf numFmtId="3" fontId="1" fillId="0" borderId="0" xfId="0" applyNumberFormat="1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16" fontId="1" fillId="0" borderId="11" xfId="0" applyNumberFormat="1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3" fontId="1" fillId="0" borderId="12" xfId="0" applyNumberFormat="1" applyFont="1" applyBorder="1" applyAlignment="1">
      <alignment horizontal="left" vertical="center"/>
    </xf>
    <xf numFmtId="16" fontId="1" fillId="0" borderId="13" xfId="0" applyNumberFormat="1" applyFont="1" applyBorder="1" applyAlignment="1">
      <alignment horizontal="left" vertical="center"/>
    </xf>
    <xf numFmtId="16" fontId="1" fillId="0" borderId="14" xfId="0" applyNumberFormat="1" applyFont="1" applyBorder="1" applyAlignment="1">
      <alignment horizontal="left" vertical="center"/>
    </xf>
    <xf numFmtId="16" fontId="1" fillId="0" borderId="15" xfId="0" applyNumberFormat="1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3" fontId="1" fillId="0" borderId="17" xfId="0" applyNumberFormat="1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16" fontId="1" fillId="0" borderId="0" xfId="0" applyNumberFormat="1" applyFont="1" applyAlignment="1">
      <alignment horizontal="left" vertical="center"/>
    </xf>
    <xf numFmtId="0" fontId="1" fillId="0" borderId="0" xfId="0" applyFont="1"/>
    <xf numFmtId="3" fontId="0" fillId="0" borderId="0" xfId="0" applyNumberFormat="1"/>
    <xf numFmtId="3" fontId="1" fillId="0" borderId="1" xfId="0" applyNumberFormat="1" applyFont="1" applyBorder="1" applyAlignment="1">
      <alignment horizontal="left" vertical="center"/>
    </xf>
    <xf numFmtId="3" fontId="2" fillId="0" borderId="6" xfId="0" applyNumberFormat="1" applyFont="1" applyBorder="1" applyAlignment="1">
      <alignment vertical="center"/>
    </xf>
    <xf numFmtId="3" fontId="2" fillId="0" borderId="6" xfId="0" applyNumberFormat="1" applyFont="1" applyBorder="1" applyAlignment="1">
      <alignment horizontal="left" vertical="center"/>
    </xf>
    <xf numFmtId="3" fontId="2" fillId="0" borderId="0" xfId="0" applyNumberFormat="1" applyFont="1" applyAlignment="1">
      <alignment horizontal="center" vertical="center"/>
    </xf>
    <xf numFmtId="3" fontId="1" fillId="0" borderId="0" xfId="0" applyNumberFormat="1" applyFont="1"/>
    <xf numFmtId="165" fontId="1" fillId="0" borderId="0" xfId="0" applyNumberFormat="1" applyFont="1" applyAlignment="1">
      <alignment horizontal="left" vertical="center"/>
    </xf>
    <xf numFmtId="166" fontId="1" fillId="0" borderId="0" xfId="0" applyNumberFormat="1" applyFont="1" applyAlignment="1">
      <alignment horizontal="left" vertical="center"/>
    </xf>
    <xf numFmtId="16" fontId="1" fillId="0" borderId="8" xfId="0" applyNumberFormat="1" applyFont="1" applyBorder="1" applyAlignment="1">
      <alignment horizontal="center" vertical="center"/>
    </xf>
    <xf numFmtId="16" fontId="1" fillId="0" borderId="9" xfId="0" applyNumberFormat="1" applyFont="1" applyBorder="1" applyAlignment="1">
      <alignment horizontal="center" vertical="center"/>
    </xf>
    <xf numFmtId="16" fontId="1" fillId="0" borderId="1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16" fontId="1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3" fontId="2" fillId="0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454"/>
  <sheetViews>
    <sheetView topLeftCell="A367" workbookViewId="0">
      <selection activeCell="E374" sqref="E374"/>
    </sheetView>
  </sheetViews>
  <sheetFormatPr defaultRowHeight="18.75" x14ac:dyDescent="0.25"/>
  <cols>
    <col min="2" max="2" width="21.28515625" style="1" customWidth="1"/>
    <col min="3" max="5" width="21.28515625" style="2" customWidth="1"/>
    <col min="6" max="6" width="9.140625" style="33"/>
    <col min="7" max="7" width="10.42578125" bestFit="1" customWidth="1"/>
  </cols>
  <sheetData>
    <row r="1" spans="1:5" ht="19.5" thickBot="1" x14ac:dyDescent="0.3">
      <c r="A1" s="3"/>
    </row>
    <row r="2" spans="1:5" ht="19.5" thickTop="1" x14ac:dyDescent="0.25">
      <c r="A2" s="3"/>
      <c r="B2" s="41">
        <v>42154</v>
      </c>
      <c r="C2" s="34">
        <v>58</v>
      </c>
      <c r="D2" s="34">
        <v>33</v>
      </c>
      <c r="E2" s="5">
        <f t="shared" ref="E2:E14" si="0">FLOOR(C2*D2/10*1000,1000)</f>
        <v>191000</v>
      </c>
    </row>
    <row r="3" spans="1:5" x14ac:dyDescent="0.25">
      <c r="A3" s="3"/>
      <c r="B3" s="42"/>
      <c r="C3" s="18">
        <v>30</v>
      </c>
      <c r="D3" s="18">
        <v>33</v>
      </c>
      <c r="E3" s="6">
        <f t="shared" si="0"/>
        <v>99000</v>
      </c>
    </row>
    <row r="4" spans="1:5" x14ac:dyDescent="0.25">
      <c r="A4" s="3"/>
      <c r="B4" s="42"/>
      <c r="C4" s="18">
        <v>27</v>
      </c>
      <c r="D4" s="18">
        <v>33</v>
      </c>
      <c r="E4" s="6">
        <f t="shared" si="0"/>
        <v>89000</v>
      </c>
    </row>
    <row r="5" spans="1:5" x14ac:dyDescent="0.25">
      <c r="A5" s="3"/>
      <c r="B5" s="42"/>
      <c r="C5" s="18">
        <v>111</v>
      </c>
      <c r="D5" s="18">
        <v>33</v>
      </c>
      <c r="E5" s="6">
        <f t="shared" si="0"/>
        <v>366000</v>
      </c>
    </row>
    <row r="6" spans="1:5" x14ac:dyDescent="0.25">
      <c r="A6" s="3"/>
      <c r="B6" s="42"/>
      <c r="C6" s="18">
        <v>78</v>
      </c>
      <c r="D6" s="18">
        <v>33</v>
      </c>
      <c r="E6" s="6">
        <f t="shared" si="0"/>
        <v>257000</v>
      </c>
    </row>
    <row r="7" spans="1:5" x14ac:dyDescent="0.25">
      <c r="A7" s="3"/>
      <c r="B7" s="42"/>
      <c r="C7" s="18">
        <v>38</v>
      </c>
      <c r="D7" s="18">
        <v>35</v>
      </c>
      <c r="E7" s="6">
        <f t="shared" si="0"/>
        <v>133000</v>
      </c>
    </row>
    <row r="8" spans="1:5" x14ac:dyDescent="0.25">
      <c r="A8" s="3"/>
      <c r="B8" s="42"/>
      <c r="C8" s="18">
        <v>440</v>
      </c>
      <c r="D8" s="18">
        <v>34</v>
      </c>
      <c r="E8" s="6">
        <f t="shared" si="0"/>
        <v>1496000</v>
      </c>
    </row>
    <row r="9" spans="1:5" x14ac:dyDescent="0.25">
      <c r="A9" s="3"/>
      <c r="B9" s="42"/>
      <c r="C9" s="18">
        <v>45</v>
      </c>
      <c r="D9" s="18">
        <v>33</v>
      </c>
      <c r="E9" s="6">
        <f>FLOOR(C9*D9/10*1000,1000)-2000</f>
        <v>146000</v>
      </c>
    </row>
    <row r="10" spans="1:5" x14ac:dyDescent="0.25">
      <c r="A10" s="3"/>
      <c r="B10" s="42"/>
      <c r="C10" s="18">
        <v>20</v>
      </c>
      <c r="D10" s="18">
        <v>33</v>
      </c>
      <c r="E10" s="6">
        <f t="shared" si="0"/>
        <v>66000</v>
      </c>
    </row>
    <row r="11" spans="1:5" x14ac:dyDescent="0.25">
      <c r="A11" s="3"/>
      <c r="B11" s="42"/>
      <c r="C11" s="18">
        <v>232</v>
      </c>
      <c r="D11" s="18">
        <v>36</v>
      </c>
      <c r="E11" s="6">
        <f t="shared" si="0"/>
        <v>835000</v>
      </c>
    </row>
    <row r="12" spans="1:5" x14ac:dyDescent="0.25">
      <c r="A12" s="3"/>
      <c r="B12" s="42"/>
      <c r="C12" s="18">
        <v>74</v>
      </c>
      <c r="D12" s="18">
        <v>38</v>
      </c>
      <c r="E12" s="6">
        <f t="shared" si="0"/>
        <v>281000</v>
      </c>
    </row>
    <row r="13" spans="1:5" x14ac:dyDescent="0.25">
      <c r="A13" s="3"/>
      <c r="B13" s="42"/>
      <c r="C13" s="18">
        <v>26</v>
      </c>
      <c r="D13" s="18">
        <v>35</v>
      </c>
      <c r="E13" s="6">
        <f t="shared" si="0"/>
        <v>91000</v>
      </c>
    </row>
    <row r="14" spans="1:5" x14ac:dyDescent="0.25">
      <c r="A14" s="3"/>
      <c r="B14" s="43"/>
      <c r="C14" s="18">
        <v>159</v>
      </c>
      <c r="D14" s="18">
        <v>36</v>
      </c>
      <c r="E14" s="6">
        <f t="shared" si="0"/>
        <v>572000</v>
      </c>
    </row>
    <row r="15" spans="1:5" ht="19.5" thickBot="1" x14ac:dyDescent="0.3">
      <c r="A15" s="3"/>
      <c r="B15" s="7" t="s">
        <v>0</v>
      </c>
      <c r="C15" s="35">
        <f>SUM(C2:C14)</f>
        <v>1338</v>
      </c>
      <c r="D15" s="35">
        <f>SUM(D2:D14)</f>
        <v>445</v>
      </c>
      <c r="E15" s="10">
        <f>SUM(E2:E14)</f>
        <v>4622000</v>
      </c>
    </row>
    <row r="16" spans="1:5" ht="20.25" thickTop="1" thickBot="1" x14ac:dyDescent="0.3">
      <c r="A16" s="3"/>
    </row>
    <row r="17" spans="1:5" ht="19.5" thickTop="1" x14ac:dyDescent="0.25">
      <c r="A17" s="3"/>
      <c r="B17" s="41">
        <v>42155</v>
      </c>
      <c r="C17" s="34">
        <v>112</v>
      </c>
      <c r="D17" s="34">
        <v>32</v>
      </c>
      <c r="E17" s="5">
        <f t="shared" ref="E17:E26" si="1">FLOOR(C17*D17/10*1000,1000)</f>
        <v>358000</v>
      </c>
    </row>
    <row r="18" spans="1:5" x14ac:dyDescent="0.25">
      <c r="A18" s="3"/>
      <c r="B18" s="42"/>
      <c r="C18" s="18">
        <v>304</v>
      </c>
      <c r="D18" s="18">
        <v>34</v>
      </c>
      <c r="E18" s="6">
        <f t="shared" si="1"/>
        <v>1033000</v>
      </c>
    </row>
    <row r="19" spans="1:5" x14ac:dyDescent="0.25">
      <c r="A19" s="3"/>
      <c r="B19" s="42"/>
      <c r="C19" s="18">
        <v>97</v>
      </c>
      <c r="D19" s="18">
        <v>33</v>
      </c>
      <c r="E19" s="6">
        <f t="shared" si="1"/>
        <v>320000</v>
      </c>
    </row>
    <row r="20" spans="1:5" x14ac:dyDescent="0.25">
      <c r="A20" s="3"/>
      <c r="B20" s="42"/>
      <c r="C20" s="18">
        <v>128</v>
      </c>
      <c r="D20" s="18">
        <v>37</v>
      </c>
      <c r="E20" s="6">
        <f t="shared" si="1"/>
        <v>473000</v>
      </c>
    </row>
    <row r="21" spans="1:5" x14ac:dyDescent="0.25">
      <c r="A21" s="3"/>
      <c r="B21" s="42"/>
      <c r="C21" s="18">
        <v>46</v>
      </c>
      <c r="D21" s="18">
        <v>32</v>
      </c>
      <c r="E21" s="6">
        <f t="shared" si="1"/>
        <v>147000</v>
      </c>
    </row>
    <row r="22" spans="1:5" x14ac:dyDescent="0.25">
      <c r="A22" s="3"/>
      <c r="B22" s="42"/>
      <c r="C22" s="18">
        <v>21</v>
      </c>
      <c r="D22" s="18">
        <v>33</v>
      </c>
      <c r="E22" s="6">
        <f t="shared" si="1"/>
        <v>69000</v>
      </c>
    </row>
    <row r="23" spans="1:5" x14ac:dyDescent="0.25">
      <c r="A23" s="3"/>
      <c r="B23" s="42"/>
      <c r="C23" s="18">
        <v>30</v>
      </c>
      <c r="D23" s="18">
        <v>39</v>
      </c>
      <c r="E23" s="6">
        <f t="shared" si="1"/>
        <v>117000</v>
      </c>
    </row>
    <row r="24" spans="1:5" x14ac:dyDescent="0.25">
      <c r="A24" s="3"/>
      <c r="B24" s="42"/>
      <c r="C24" s="18">
        <v>137</v>
      </c>
      <c r="D24" s="18">
        <v>34</v>
      </c>
      <c r="E24" s="6">
        <f t="shared" si="1"/>
        <v>465000</v>
      </c>
    </row>
    <row r="25" spans="1:5" x14ac:dyDescent="0.25">
      <c r="A25" s="3"/>
      <c r="B25" s="42"/>
      <c r="C25" s="18">
        <v>300</v>
      </c>
      <c r="D25" s="18">
        <v>38</v>
      </c>
      <c r="E25" s="6">
        <f t="shared" si="1"/>
        <v>1140000</v>
      </c>
    </row>
    <row r="26" spans="1:5" x14ac:dyDescent="0.25">
      <c r="A26" s="3"/>
      <c r="B26" s="43"/>
      <c r="C26" s="18">
        <v>9</v>
      </c>
      <c r="D26" s="18">
        <v>36</v>
      </c>
      <c r="E26" s="6">
        <f t="shared" si="1"/>
        <v>32000</v>
      </c>
    </row>
    <row r="27" spans="1:5" ht="19.5" thickBot="1" x14ac:dyDescent="0.3">
      <c r="A27" s="3"/>
      <c r="B27" s="7" t="s">
        <v>0</v>
      </c>
      <c r="C27" s="36">
        <f>SUM(C17:C26)</f>
        <v>1184</v>
      </c>
      <c r="D27" s="36">
        <f>SUM(D17:D26)</f>
        <v>348</v>
      </c>
      <c r="E27" s="10">
        <f>SUM(E17:E26)</f>
        <v>4154000</v>
      </c>
    </row>
    <row r="28" spans="1:5" ht="20.25" thickTop="1" thickBot="1" x14ac:dyDescent="0.3">
      <c r="A28" s="3"/>
    </row>
    <row r="29" spans="1:5" ht="19.5" thickTop="1" x14ac:dyDescent="0.25">
      <c r="A29" s="3"/>
      <c r="B29" s="41">
        <v>42156</v>
      </c>
      <c r="C29" s="34">
        <v>30</v>
      </c>
      <c r="D29" s="34">
        <v>30</v>
      </c>
      <c r="E29" s="5">
        <f t="shared" ref="E29:E46" si="2">FLOOR(C29*D29/10*1000,1000)</f>
        <v>90000</v>
      </c>
    </row>
    <row r="30" spans="1:5" x14ac:dyDescent="0.25">
      <c r="A30" s="3"/>
      <c r="B30" s="42"/>
      <c r="C30" s="18">
        <v>94</v>
      </c>
      <c r="D30" s="18">
        <v>34</v>
      </c>
      <c r="E30" s="6">
        <f>_xlfn.CEILING.MATH(C30*D30/10*1000,1000)</f>
        <v>320000</v>
      </c>
    </row>
    <row r="31" spans="1:5" x14ac:dyDescent="0.25">
      <c r="A31" s="3"/>
      <c r="B31" s="42"/>
      <c r="C31" s="18">
        <v>8</v>
      </c>
      <c r="D31" s="18">
        <v>30</v>
      </c>
      <c r="E31" s="6">
        <f t="shared" si="2"/>
        <v>24000</v>
      </c>
    </row>
    <row r="32" spans="1:5" x14ac:dyDescent="0.25">
      <c r="A32" s="3"/>
      <c r="B32" s="42"/>
      <c r="C32" s="18">
        <v>29</v>
      </c>
      <c r="D32" s="18">
        <v>32</v>
      </c>
      <c r="E32" s="6">
        <f t="shared" si="2"/>
        <v>92000</v>
      </c>
    </row>
    <row r="33" spans="1:5" x14ac:dyDescent="0.25">
      <c r="A33" s="3"/>
      <c r="B33" s="42"/>
      <c r="C33" s="18">
        <v>64</v>
      </c>
      <c r="D33" s="18">
        <v>32</v>
      </c>
      <c r="E33" s="6">
        <f t="shared" si="2"/>
        <v>204000</v>
      </c>
    </row>
    <row r="34" spans="1:5" x14ac:dyDescent="0.25">
      <c r="A34" s="3"/>
      <c r="B34" s="42"/>
      <c r="C34" s="18">
        <v>34</v>
      </c>
      <c r="D34" s="18">
        <v>32</v>
      </c>
      <c r="E34" s="6">
        <f t="shared" si="2"/>
        <v>108000</v>
      </c>
    </row>
    <row r="35" spans="1:5" x14ac:dyDescent="0.25">
      <c r="A35" s="3"/>
      <c r="B35" s="42"/>
      <c r="C35" s="18">
        <v>24</v>
      </c>
      <c r="D35" s="18">
        <v>30</v>
      </c>
      <c r="E35" s="6">
        <f t="shared" si="2"/>
        <v>72000</v>
      </c>
    </row>
    <row r="36" spans="1:5" x14ac:dyDescent="0.25">
      <c r="A36" s="3"/>
      <c r="B36" s="42"/>
      <c r="C36" s="18">
        <v>71</v>
      </c>
      <c r="D36" s="18">
        <v>30</v>
      </c>
      <c r="E36" s="6">
        <f t="shared" si="2"/>
        <v>213000</v>
      </c>
    </row>
    <row r="37" spans="1:5" x14ac:dyDescent="0.25">
      <c r="A37" s="3"/>
      <c r="B37" s="42"/>
      <c r="C37" s="18">
        <v>22</v>
      </c>
      <c r="D37" s="18">
        <v>31</v>
      </c>
      <c r="E37" s="6">
        <f t="shared" si="2"/>
        <v>68000</v>
      </c>
    </row>
    <row r="38" spans="1:5" x14ac:dyDescent="0.25">
      <c r="A38" s="3"/>
      <c r="B38" s="42"/>
      <c r="C38" s="18">
        <v>61</v>
      </c>
      <c r="D38" s="18">
        <v>32</v>
      </c>
      <c r="E38" s="6">
        <f t="shared" si="2"/>
        <v>195000</v>
      </c>
    </row>
    <row r="39" spans="1:5" x14ac:dyDescent="0.25">
      <c r="A39" s="3"/>
      <c r="B39" s="42"/>
      <c r="C39" s="18">
        <v>476</v>
      </c>
      <c r="D39" s="18">
        <v>31</v>
      </c>
      <c r="E39" s="6">
        <f t="shared" si="2"/>
        <v>1475000</v>
      </c>
    </row>
    <row r="40" spans="1:5" x14ac:dyDescent="0.25">
      <c r="A40" s="3"/>
      <c r="B40" s="42"/>
      <c r="C40" s="18">
        <v>45</v>
      </c>
      <c r="D40" s="18">
        <v>37</v>
      </c>
      <c r="E40" s="6">
        <f t="shared" si="2"/>
        <v>166000</v>
      </c>
    </row>
    <row r="41" spans="1:5" x14ac:dyDescent="0.25">
      <c r="A41" s="3"/>
      <c r="B41" s="42"/>
      <c r="C41" s="18">
        <v>277</v>
      </c>
      <c r="D41" s="18">
        <v>28</v>
      </c>
      <c r="E41" s="6">
        <f t="shared" si="2"/>
        <v>775000</v>
      </c>
    </row>
    <row r="42" spans="1:5" x14ac:dyDescent="0.25">
      <c r="A42" s="3"/>
      <c r="B42" s="42"/>
      <c r="C42" s="18">
        <v>23</v>
      </c>
      <c r="D42" s="18">
        <v>36</v>
      </c>
      <c r="E42" s="6">
        <f t="shared" si="2"/>
        <v>82000</v>
      </c>
    </row>
    <row r="43" spans="1:5" x14ac:dyDescent="0.25">
      <c r="A43" s="3"/>
      <c r="B43" s="42"/>
      <c r="C43" s="18">
        <v>79</v>
      </c>
      <c r="D43" s="18">
        <v>32</v>
      </c>
      <c r="E43" s="6">
        <f t="shared" si="2"/>
        <v>252000</v>
      </c>
    </row>
    <row r="44" spans="1:5" x14ac:dyDescent="0.25">
      <c r="A44" s="3"/>
      <c r="B44" s="42"/>
      <c r="C44" s="18">
        <v>138</v>
      </c>
      <c r="D44" s="18">
        <v>34</v>
      </c>
      <c r="E44" s="6">
        <f t="shared" si="2"/>
        <v>469000</v>
      </c>
    </row>
    <row r="45" spans="1:5" x14ac:dyDescent="0.25">
      <c r="A45" s="3"/>
      <c r="B45" s="42"/>
      <c r="C45" s="18">
        <v>183</v>
      </c>
      <c r="D45" s="18">
        <v>31</v>
      </c>
      <c r="E45" s="6">
        <f t="shared" si="2"/>
        <v>567000</v>
      </c>
    </row>
    <row r="46" spans="1:5" x14ac:dyDescent="0.25">
      <c r="A46" s="3"/>
      <c r="B46" s="43"/>
      <c r="C46" s="18">
        <v>313</v>
      </c>
      <c r="D46" s="18">
        <v>31</v>
      </c>
      <c r="E46" s="6">
        <f t="shared" si="2"/>
        <v>970000</v>
      </c>
    </row>
    <row r="47" spans="1:5" ht="19.5" thickBot="1" x14ac:dyDescent="0.3">
      <c r="A47" s="3"/>
      <c r="B47" s="7" t="s">
        <v>0</v>
      </c>
      <c r="C47" s="35">
        <f>SUM(C29:C46)</f>
        <v>1971</v>
      </c>
      <c r="D47" s="35">
        <f>SUM(D29:D46)</f>
        <v>573</v>
      </c>
      <c r="E47" s="10">
        <f>SUM(E29:E46)</f>
        <v>6142000</v>
      </c>
    </row>
    <row r="48" spans="1:5" ht="20.25" thickTop="1" thickBot="1" x14ac:dyDescent="0.3">
      <c r="A48" s="3"/>
    </row>
    <row r="49" spans="1:5" ht="19.5" thickTop="1" x14ac:dyDescent="0.25">
      <c r="A49" s="3"/>
      <c r="B49" s="41">
        <v>42157</v>
      </c>
      <c r="C49" s="34">
        <v>71</v>
      </c>
      <c r="D49" s="34">
        <v>31</v>
      </c>
      <c r="E49" s="5">
        <f t="shared" ref="E49:E64" si="3">FLOOR(C49*D49/10*1000,1000)</f>
        <v>220000</v>
      </c>
    </row>
    <row r="50" spans="1:5" x14ac:dyDescent="0.25">
      <c r="A50" s="3"/>
      <c r="B50" s="42"/>
      <c r="C50" s="18">
        <v>55</v>
      </c>
      <c r="D50" s="18">
        <v>32</v>
      </c>
      <c r="E50" s="6">
        <f t="shared" si="3"/>
        <v>176000</v>
      </c>
    </row>
    <row r="51" spans="1:5" x14ac:dyDescent="0.25">
      <c r="A51" s="3"/>
      <c r="B51" s="42"/>
      <c r="C51" s="18">
        <v>22</v>
      </c>
      <c r="D51" s="18">
        <v>31</v>
      </c>
      <c r="E51" s="6">
        <f t="shared" si="3"/>
        <v>68000</v>
      </c>
    </row>
    <row r="52" spans="1:5" x14ac:dyDescent="0.25">
      <c r="A52" s="3"/>
      <c r="B52" s="42"/>
      <c r="C52" s="18">
        <v>83</v>
      </c>
      <c r="D52" s="18">
        <v>30</v>
      </c>
      <c r="E52" s="6">
        <f>_xlfn.CEILING.MATH(C52*D52/10*1000,1000)+1000</f>
        <v>250000</v>
      </c>
    </row>
    <row r="53" spans="1:5" x14ac:dyDescent="0.25">
      <c r="A53" s="3"/>
      <c r="B53" s="42"/>
      <c r="C53" s="18">
        <v>102</v>
      </c>
      <c r="D53" s="18">
        <v>33</v>
      </c>
      <c r="E53" s="6">
        <f t="shared" si="3"/>
        <v>336000</v>
      </c>
    </row>
    <row r="54" spans="1:5" x14ac:dyDescent="0.25">
      <c r="A54" s="3"/>
      <c r="B54" s="42"/>
      <c r="C54" s="18">
        <v>20</v>
      </c>
      <c r="D54" s="18">
        <v>33</v>
      </c>
      <c r="E54" s="6">
        <f t="shared" si="3"/>
        <v>66000</v>
      </c>
    </row>
    <row r="55" spans="1:5" x14ac:dyDescent="0.25">
      <c r="A55" s="3"/>
      <c r="B55" s="42"/>
      <c r="C55" s="18">
        <v>30</v>
      </c>
      <c r="D55" s="18">
        <v>33</v>
      </c>
      <c r="E55" s="6">
        <f t="shared" si="3"/>
        <v>99000</v>
      </c>
    </row>
    <row r="56" spans="1:5" x14ac:dyDescent="0.25">
      <c r="A56" s="3"/>
      <c r="B56" s="42"/>
      <c r="C56" s="18">
        <v>48</v>
      </c>
      <c r="D56" s="18">
        <v>32</v>
      </c>
      <c r="E56" s="6">
        <f t="shared" si="3"/>
        <v>153000</v>
      </c>
    </row>
    <row r="57" spans="1:5" x14ac:dyDescent="0.25">
      <c r="A57" s="3"/>
      <c r="B57" s="42"/>
      <c r="C57" s="18">
        <v>42</v>
      </c>
      <c r="D57" s="18">
        <v>31</v>
      </c>
      <c r="E57" s="6">
        <f t="shared" si="3"/>
        <v>130000</v>
      </c>
    </row>
    <row r="58" spans="1:5" x14ac:dyDescent="0.25">
      <c r="A58" s="3"/>
      <c r="B58" s="42"/>
      <c r="C58" s="18">
        <v>32</v>
      </c>
      <c r="D58" s="18">
        <v>32</v>
      </c>
      <c r="E58" s="6">
        <f t="shared" si="3"/>
        <v>102000</v>
      </c>
    </row>
    <row r="59" spans="1:5" x14ac:dyDescent="0.25">
      <c r="A59" s="3"/>
      <c r="B59" s="42"/>
      <c r="C59" s="18">
        <v>21</v>
      </c>
      <c r="D59" s="18">
        <v>33</v>
      </c>
      <c r="E59" s="6">
        <f t="shared" si="3"/>
        <v>69000</v>
      </c>
    </row>
    <row r="60" spans="1:5" x14ac:dyDescent="0.25">
      <c r="A60" s="3"/>
      <c r="B60" s="42"/>
      <c r="C60" s="18">
        <v>66</v>
      </c>
      <c r="D60" s="18">
        <v>32</v>
      </c>
      <c r="E60" s="6">
        <f t="shared" si="3"/>
        <v>211000</v>
      </c>
    </row>
    <row r="61" spans="1:5" x14ac:dyDescent="0.25">
      <c r="A61" s="3"/>
      <c r="B61" s="42"/>
      <c r="C61" s="18">
        <v>38</v>
      </c>
      <c r="D61" s="18">
        <v>32</v>
      </c>
      <c r="E61" s="6">
        <f t="shared" si="3"/>
        <v>121000</v>
      </c>
    </row>
    <row r="62" spans="1:5" x14ac:dyDescent="0.25">
      <c r="A62" s="3"/>
      <c r="B62" s="42"/>
      <c r="C62" s="18">
        <v>83</v>
      </c>
      <c r="D62" s="18">
        <v>34</v>
      </c>
      <c r="E62" s="6">
        <f t="shared" si="3"/>
        <v>282000</v>
      </c>
    </row>
    <row r="63" spans="1:5" x14ac:dyDescent="0.25">
      <c r="A63" s="3"/>
      <c r="B63" s="42"/>
      <c r="C63" s="18">
        <v>53</v>
      </c>
      <c r="D63" s="18">
        <v>28</v>
      </c>
      <c r="E63" s="6">
        <f t="shared" si="3"/>
        <v>148000</v>
      </c>
    </row>
    <row r="64" spans="1:5" x14ac:dyDescent="0.25">
      <c r="A64" s="3"/>
      <c r="B64" s="43"/>
      <c r="C64" s="18">
        <v>21</v>
      </c>
      <c r="D64" s="18">
        <v>32</v>
      </c>
      <c r="E64" s="6">
        <f t="shared" si="3"/>
        <v>67000</v>
      </c>
    </row>
    <row r="65" spans="1:5" ht="19.5" thickBot="1" x14ac:dyDescent="0.3">
      <c r="A65" s="3"/>
      <c r="B65" s="7" t="s">
        <v>0</v>
      </c>
      <c r="C65" s="35">
        <f>SUM(C49:C64)</f>
        <v>787</v>
      </c>
      <c r="D65" s="35">
        <f>SUM(D49:D64)</f>
        <v>509</v>
      </c>
      <c r="E65" s="10">
        <f>SUM(E49:E64)</f>
        <v>2498000</v>
      </c>
    </row>
    <row r="66" spans="1:5" ht="20.25" thickTop="1" thickBot="1" x14ac:dyDescent="0.3">
      <c r="A66" s="3"/>
    </row>
    <row r="67" spans="1:5" ht="19.5" thickTop="1" x14ac:dyDescent="0.25">
      <c r="A67" s="3"/>
      <c r="B67" s="41">
        <v>42158</v>
      </c>
      <c r="C67" s="34">
        <v>99</v>
      </c>
      <c r="D67" s="34">
        <v>32</v>
      </c>
      <c r="E67" s="5">
        <f t="shared" ref="E67:E84" si="4">FLOOR(C67*D67/10*1000,1000)</f>
        <v>316000</v>
      </c>
    </row>
    <row r="68" spans="1:5" x14ac:dyDescent="0.25">
      <c r="A68" s="3"/>
      <c r="B68" s="42"/>
      <c r="C68" s="18">
        <v>167</v>
      </c>
      <c r="D68" s="18">
        <v>31</v>
      </c>
      <c r="E68" s="6">
        <f t="shared" si="4"/>
        <v>517000</v>
      </c>
    </row>
    <row r="69" spans="1:5" x14ac:dyDescent="0.25">
      <c r="A69" s="3"/>
      <c r="B69" s="42"/>
      <c r="C69" s="18">
        <v>772</v>
      </c>
      <c r="D69" s="18">
        <v>32</v>
      </c>
      <c r="E69" s="6">
        <f t="shared" si="4"/>
        <v>2470000</v>
      </c>
    </row>
    <row r="70" spans="1:5" x14ac:dyDescent="0.25">
      <c r="A70" s="3"/>
      <c r="B70" s="42"/>
      <c r="C70" s="18">
        <v>50</v>
      </c>
      <c r="D70" s="18">
        <v>36</v>
      </c>
      <c r="E70" s="6">
        <f t="shared" si="4"/>
        <v>180000</v>
      </c>
    </row>
    <row r="71" spans="1:5" x14ac:dyDescent="0.25">
      <c r="A71" s="3"/>
      <c r="B71" s="42"/>
      <c r="C71" s="18">
        <v>59</v>
      </c>
      <c r="D71" s="18">
        <v>32</v>
      </c>
      <c r="E71" s="6">
        <f t="shared" si="4"/>
        <v>188000</v>
      </c>
    </row>
    <row r="72" spans="1:5" x14ac:dyDescent="0.25">
      <c r="A72" s="3"/>
      <c r="B72" s="42"/>
      <c r="C72" s="18">
        <v>30</v>
      </c>
      <c r="D72" s="18">
        <v>34</v>
      </c>
      <c r="E72" s="6">
        <f t="shared" si="4"/>
        <v>102000</v>
      </c>
    </row>
    <row r="73" spans="1:5" x14ac:dyDescent="0.25">
      <c r="A73" s="3"/>
      <c r="B73" s="42"/>
      <c r="C73" s="18">
        <v>22</v>
      </c>
      <c r="D73" s="18">
        <v>32</v>
      </c>
      <c r="E73" s="6">
        <f t="shared" si="4"/>
        <v>70000</v>
      </c>
    </row>
    <row r="74" spans="1:5" x14ac:dyDescent="0.25">
      <c r="A74" s="3"/>
      <c r="B74" s="42"/>
      <c r="C74" s="18">
        <v>20</v>
      </c>
      <c r="D74" s="18">
        <v>32</v>
      </c>
      <c r="E74" s="6">
        <f t="shared" si="4"/>
        <v>64000</v>
      </c>
    </row>
    <row r="75" spans="1:5" x14ac:dyDescent="0.25">
      <c r="A75" s="3"/>
      <c r="B75" s="42"/>
      <c r="C75" s="18">
        <v>20</v>
      </c>
      <c r="D75" s="18">
        <v>32</v>
      </c>
      <c r="E75" s="6">
        <f t="shared" si="4"/>
        <v>64000</v>
      </c>
    </row>
    <row r="76" spans="1:5" x14ac:dyDescent="0.25">
      <c r="A76" s="3"/>
      <c r="B76" s="42"/>
      <c r="C76" s="18">
        <v>100</v>
      </c>
      <c r="D76" s="18">
        <v>32</v>
      </c>
      <c r="E76" s="6">
        <f t="shared" si="4"/>
        <v>320000</v>
      </c>
    </row>
    <row r="77" spans="1:5" x14ac:dyDescent="0.25">
      <c r="A77" s="3"/>
      <c r="B77" s="42"/>
      <c r="C77" s="18">
        <v>36</v>
      </c>
      <c r="D77" s="18">
        <v>33</v>
      </c>
      <c r="E77" s="6">
        <f t="shared" si="4"/>
        <v>118000</v>
      </c>
    </row>
    <row r="78" spans="1:5" x14ac:dyDescent="0.25">
      <c r="A78" s="3"/>
      <c r="B78" s="42"/>
      <c r="C78" s="18">
        <v>39</v>
      </c>
      <c r="D78" s="18">
        <v>31</v>
      </c>
      <c r="E78" s="6">
        <f t="shared" si="4"/>
        <v>120000</v>
      </c>
    </row>
    <row r="79" spans="1:5" x14ac:dyDescent="0.25">
      <c r="A79" s="3"/>
      <c r="B79" s="42"/>
      <c r="C79" s="18">
        <v>42</v>
      </c>
      <c r="D79" s="18">
        <v>32</v>
      </c>
      <c r="E79" s="6">
        <f t="shared" si="4"/>
        <v>134000</v>
      </c>
    </row>
    <row r="80" spans="1:5" x14ac:dyDescent="0.25">
      <c r="A80" s="3"/>
      <c r="B80" s="42"/>
      <c r="C80" s="18">
        <v>98</v>
      </c>
      <c r="D80" s="18">
        <v>31</v>
      </c>
      <c r="E80" s="6">
        <f t="shared" si="4"/>
        <v>303000</v>
      </c>
    </row>
    <row r="81" spans="1:5" x14ac:dyDescent="0.25">
      <c r="A81" s="3"/>
      <c r="B81" s="42"/>
      <c r="C81" s="18">
        <v>14</v>
      </c>
      <c r="D81" s="18">
        <v>38</v>
      </c>
      <c r="E81" s="6">
        <f t="shared" si="4"/>
        <v>53000</v>
      </c>
    </row>
    <row r="82" spans="1:5" x14ac:dyDescent="0.25">
      <c r="A82" s="3"/>
      <c r="B82" s="42"/>
      <c r="C82" s="18">
        <v>59</v>
      </c>
      <c r="D82" s="18">
        <v>36</v>
      </c>
      <c r="E82" s="6">
        <f t="shared" si="4"/>
        <v>212000</v>
      </c>
    </row>
    <row r="83" spans="1:5" x14ac:dyDescent="0.25">
      <c r="A83" s="3"/>
      <c r="B83" s="42"/>
      <c r="C83" s="18">
        <v>17</v>
      </c>
      <c r="D83" s="18">
        <v>31</v>
      </c>
      <c r="E83" s="6">
        <f t="shared" si="4"/>
        <v>52000</v>
      </c>
    </row>
    <row r="84" spans="1:5" x14ac:dyDescent="0.25">
      <c r="A84" s="3"/>
      <c r="B84" s="42"/>
      <c r="C84" s="18">
        <v>472</v>
      </c>
      <c r="D84" s="18">
        <v>33</v>
      </c>
      <c r="E84" s="6">
        <f t="shared" si="4"/>
        <v>1557000</v>
      </c>
    </row>
    <row r="85" spans="1:5" x14ac:dyDescent="0.25">
      <c r="A85" s="3"/>
      <c r="B85" s="42"/>
      <c r="C85" s="18">
        <v>114</v>
      </c>
      <c r="D85" s="18">
        <v>31</v>
      </c>
      <c r="E85" s="6">
        <f t="shared" ref="E85:E87" si="5">FLOOR(C85*D85/10*1000,1000)</f>
        <v>353000</v>
      </c>
    </row>
    <row r="86" spans="1:5" x14ac:dyDescent="0.25">
      <c r="A86" s="3"/>
      <c r="B86" s="42"/>
      <c r="C86" s="18">
        <v>760</v>
      </c>
      <c r="D86" s="18">
        <v>31</v>
      </c>
      <c r="E86" s="6">
        <f t="shared" si="5"/>
        <v>2356000</v>
      </c>
    </row>
    <row r="87" spans="1:5" x14ac:dyDescent="0.25">
      <c r="A87" s="3"/>
      <c r="B87" s="42"/>
      <c r="C87" s="18">
        <v>345</v>
      </c>
      <c r="D87" s="18">
        <v>31</v>
      </c>
      <c r="E87" s="6">
        <f t="shared" si="5"/>
        <v>1069000</v>
      </c>
    </row>
    <row r="88" spans="1:5" x14ac:dyDescent="0.25">
      <c r="A88" s="3"/>
      <c r="B88" s="42"/>
      <c r="C88" s="18">
        <v>26</v>
      </c>
      <c r="D88" s="18">
        <v>33</v>
      </c>
      <c r="E88" s="6">
        <f>FLOOR(C88*D88/10*1000,1000)</f>
        <v>85000</v>
      </c>
    </row>
    <row r="89" spans="1:5" x14ac:dyDescent="0.25">
      <c r="A89" s="3"/>
      <c r="B89" s="42"/>
      <c r="C89" s="18">
        <v>160</v>
      </c>
      <c r="D89" s="18">
        <v>36</v>
      </c>
      <c r="E89" s="6">
        <f t="shared" ref="E89:E157" si="6">FLOOR(C89*D89/10*1000,1000)</f>
        <v>576000</v>
      </c>
    </row>
    <row r="90" spans="1:5" x14ac:dyDescent="0.25">
      <c r="A90" s="3"/>
      <c r="B90" s="42"/>
      <c r="C90" s="18">
        <v>80</v>
      </c>
      <c r="D90" s="18">
        <v>37</v>
      </c>
      <c r="E90" s="6">
        <f t="shared" si="6"/>
        <v>296000</v>
      </c>
    </row>
    <row r="91" spans="1:5" x14ac:dyDescent="0.25">
      <c r="A91" s="3"/>
      <c r="B91" s="42"/>
      <c r="C91" s="18">
        <v>175</v>
      </c>
      <c r="D91" s="18">
        <v>36</v>
      </c>
      <c r="E91" s="6">
        <f t="shared" si="6"/>
        <v>630000</v>
      </c>
    </row>
    <row r="92" spans="1:5" x14ac:dyDescent="0.25">
      <c r="A92" s="3"/>
      <c r="B92" s="43"/>
      <c r="C92" s="18">
        <v>210</v>
      </c>
      <c r="D92" s="18">
        <v>36</v>
      </c>
      <c r="E92" s="6">
        <f t="shared" si="6"/>
        <v>756000</v>
      </c>
    </row>
    <row r="93" spans="1:5" ht="19.5" thickBot="1" x14ac:dyDescent="0.3">
      <c r="A93" s="3"/>
      <c r="B93" s="7" t="s">
        <v>0</v>
      </c>
      <c r="C93" s="35">
        <f>SUM(C67:C92)</f>
        <v>3986</v>
      </c>
      <c r="D93" s="35">
        <f>SUM(D67:D92)</f>
        <v>861</v>
      </c>
      <c r="E93" s="10">
        <f>SUM(E67:E92)</f>
        <v>12961000</v>
      </c>
    </row>
    <row r="94" spans="1:5" ht="20.25" thickTop="1" thickBot="1" x14ac:dyDescent="0.3">
      <c r="A94" s="3"/>
    </row>
    <row r="95" spans="1:5" ht="19.5" thickTop="1" x14ac:dyDescent="0.25">
      <c r="A95" s="3"/>
      <c r="B95" s="41">
        <v>42159</v>
      </c>
      <c r="C95" s="34">
        <v>21</v>
      </c>
      <c r="D95" s="34">
        <v>32</v>
      </c>
      <c r="E95" s="5">
        <f t="shared" si="6"/>
        <v>67000</v>
      </c>
    </row>
    <row r="96" spans="1:5" x14ac:dyDescent="0.25">
      <c r="A96" s="3"/>
      <c r="B96" s="42"/>
      <c r="C96" s="18">
        <v>57</v>
      </c>
      <c r="D96" s="18">
        <v>32</v>
      </c>
      <c r="E96" s="6">
        <f t="shared" si="6"/>
        <v>182000</v>
      </c>
    </row>
    <row r="97" spans="1:5" x14ac:dyDescent="0.25">
      <c r="A97" s="3"/>
      <c r="B97" s="42"/>
      <c r="C97" s="18">
        <v>98</v>
      </c>
      <c r="D97" s="18">
        <v>31</v>
      </c>
      <c r="E97" s="6">
        <f t="shared" si="6"/>
        <v>303000</v>
      </c>
    </row>
    <row r="98" spans="1:5" x14ac:dyDescent="0.25">
      <c r="A98" s="3"/>
      <c r="B98" s="42"/>
      <c r="C98" s="18">
        <v>50</v>
      </c>
      <c r="D98" s="18">
        <v>31</v>
      </c>
      <c r="E98" s="6">
        <f t="shared" si="6"/>
        <v>155000</v>
      </c>
    </row>
    <row r="99" spans="1:5" x14ac:dyDescent="0.25">
      <c r="A99" s="3"/>
      <c r="B99" s="42"/>
      <c r="C99" s="18">
        <v>19</v>
      </c>
      <c r="D99" s="18">
        <v>32</v>
      </c>
      <c r="E99" s="6">
        <f t="shared" si="6"/>
        <v>60000</v>
      </c>
    </row>
    <row r="100" spans="1:5" x14ac:dyDescent="0.25">
      <c r="A100" s="3"/>
      <c r="B100" s="42"/>
      <c r="C100" s="18">
        <v>21</v>
      </c>
      <c r="D100" s="18">
        <v>33</v>
      </c>
      <c r="E100" s="6">
        <f t="shared" si="6"/>
        <v>69000</v>
      </c>
    </row>
    <row r="101" spans="1:5" x14ac:dyDescent="0.25">
      <c r="A101" s="3"/>
      <c r="B101" s="43"/>
      <c r="C101" s="18">
        <v>113</v>
      </c>
      <c r="D101" s="18">
        <v>32</v>
      </c>
      <c r="E101" s="6">
        <f t="shared" si="6"/>
        <v>361000</v>
      </c>
    </row>
    <row r="102" spans="1:5" ht="19.5" thickBot="1" x14ac:dyDescent="0.3">
      <c r="A102" s="3"/>
      <c r="B102" s="7" t="s">
        <v>0</v>
      </c>
      <c r="C102" s="35">
        <f>SUM(C95:C101)</f>
        <v>379</v>
      </c>
      <c r="D102" s="35">
        <f>SUM(D95:D101)</f>
        <v>223</v>
      </c>
      <c r="E102" s="10">
        <f>SUM(E95:E101)</f>
        <v>1197000</v>
      </c>
    </row>
    <row r="103" spans="1:5" ht="20.25" thickTop="1" thickBot="1" x14ac:dyDescent="0.3">
      <c r="A103" s="3"/>
    </row>
    <row r="104" spans="1:5" ht="19.5" thickTop="1" x14ac:dyDescent="0.25">
      <c r="A104" s="3"/>
      <c r="B104" s="41">
        <v>42160</v>
      </c>
      <c r="C104" s="34"/>
      <c r="D104" s="34"/>
      <c r="E104" s="5">
        <v>84000</v>
      </c>
    </row>
    <row r="105" spans="1:5" x14ac:dyDescent="0.25">
      <c r="A105" s="3"/>
      <c r="B105" s="42"/>
      <c r="C105" s="18">
        <v>37</v>
      </c>
      <c r="D105" s="18">
        <v>32</v>
      </c>
      <c r="E105" s="6">
        <f t="shared" si="6"/>
        <v>118000</v>
      </c>
    </row>
    <row r="106" spans="1:5" x14ac:dyDescent="0.25">
      <c r="A106" s="3"/>
      <c r="B106" s="42"/>
      <c r="C106" s="18">
        <v>30</v>
      </c>
      <c r="D106" s="18">
        <v>32</v>
      </c>
      <c r="E106" s="6">
        <f t="shared" si="6"/>
        <v>96000</v>
      </c>
    </row>
    <row r="107" spans="1:5" x14ac:dyDescent="0.25">
      <c r="A107" s="3"/>
      <c r="B107" s="42"/>
      <c r="C107" s="18">
        <v>54</v>
      </c>
      <c r="D107" s="18">
        <v>34</v>
      </c>
      <c r="E107" s="6">
        <f t="shared" si="6"/>
        <v>183000</v>
      </c>
    </row>
    <row r="108" spans="1:5" x14ac:dyDescent="0.25">
      <c r="A108" s="3"/>
      <c r="B108" s="42"/>
      <c r="C108" s="18">
        <v>22</v>
      </c>
      <c r="D108" s="18">
        <v>30</v>
      </c>
      <c r="E108" s="6">
        <f t="shared" si="6"/>
        <v>66000</v>
      </c>
    </row>
    <row r="109" spans="1:5" x14ac:dyDescent="0.25">
      <c r="A109" s="3"/>
      <c r="B109" s="42"/>
      <c r="C109" s="18">
        <v>45</v>
      </c>
      <c r="D109" s="18">
        <v>30</v>
      </c>
      <c r="E109" s="6">
        <f t="shared" si="6"/>
        <v>135000</v>
      </c>
    </row>
    <row r="110" spans="1:5" x14ac:dyDescent="0.25">
      <c r="A110" s="3"/>
      <c r="B110" s="42"/>
      <c r="C110" s="18">
        <v>22</v>
      </c>
      <c r="D110" s="18">
        <v>32</v>
      </c>
      <c r="E110" s="6">
        <f t="shared" si="6"/>
        <v>70000</v>
      </c>
    </row>
    <row r="111" spans="1:5" x14ac:dyDescent="0.25">
      <c r="A111" s="3"/>
      <c r="B111" s="42"/>
      <c r="C111" s="18">
        <v>116</v>
      </c>
      <c r="D111" s="18">
        <v>31</v>
      </c>
      <c r="E111" s="6">
        <f>_xlfn.CEILING.MATH(C111*D111/10*1000,1000)</f>
        <v>360000</v>
      </c>
    </row>
    <row r="112" spans="1:5" x14ac:dyDescent="0.25">
      <c r="A112" s="3"/>
      <c r="B112" s="42"/>
      <c r="C112" s="18">
        <v>70</v>
      </c>
      <c r="D112" s="18">
        <v>34</v>
      </c>
      <c r="E112" s="6">
        <f t="shared" si="6"/>
        <v>238000</v>
      </c>
    </row>
    <row r="113" spans="1:5" x14ac:dyDescent="0.25">
      <c r="A113" s="3"/>
      <c r="B113" s="42"/>
      <c r="C113" s="18">
        <v>18</v>
      </c>
      <c r="D113" s="18">
        <v>32</v>
      </c>
      <c r="E113" s="6">
        <f t="shared" si="6"/>
        <v>57000</v>
      </c>
    </row>
    <row r="114" spans="1:5" x14ac:dyDescent="0.25">
      <c r="A114" s="3"/>
      <c r="B114" s="42"/>
      <c r="C114" s="18">
        <v>100</v>
      </c>
      <c r="D114" s="18">
        <v>32</v>
      </c>
      <c r="E114" s="6">
        <f t="shared" si="6"/>
        <v>320000</v>
      </c>
    </row>
    <row r="115" spans="1:5" x14ac:dyDescent="0.25">
      <c r="A115" s="3"/>
      <c r="B115" s="42"/>
      <c r="C115" s="18">
        <v>61</v>
      </c>
      <c r="D115" s="18">
        <v>32</v>
      </c>
      <c r="E115" s="6">
        <f t="shared" si="6"/>
        <v>195000</v>
      </c>
    </row>
    <row r="116" spans="1:5" x14ac:dyDescent="0.25">
      <c r="A116" s="3"/>
      <c r="B116" s="42"/>
      <c r="C116" s="18">
        <v>8</v>
      </c>
      <c r="D116" s="18">
        <v>31</v>
      </c>
      <c r="E116" s="6">
        <f t="shared" si="6"/>
        <v>24000</v>
      </c>
    </row>
    <row r="117" spans="1:5" x14ac:dyDescent="0.25">
      <c r="A117" s="3"/>
      <c r="B117" s="42"/>
      <c r="C117" s="18">
        <v>78</v>
      </c>
      <c r="D117" s="18">
        <v>33</v>
      </c>
      <c r="E117" s="6">
        <f t="shared" si="6"/>
        <v>257000</v>
      </c>
    </row>
    <row r="118" spans="1:5" x14ac:dyDescent="0.25">
      <c r="A118" s="3"/>
      <c r="B118" s="42"/>
      <c r="C118" s="18">
        <v>72</v>
      </c>
      <c r="D118" s="18">
        <v>32</v>
      </c>
      <c r="E118" s="6">
        <f t="shared" si="6"/>
        <v>230000</v>
      </c>
    </row>
    <row r="119" spans="1:5" x14ac:dyDescent="0.25">
      <c r="A119" s="3"/>
      <c r="B119" s="42"/>
      <c r="C119" s="18">
        <v>58</v>
      </c>
      <c r="D119" s="18">
        <v>33</v>
      </c>
      <c r="E119" s="6">
        <f t="shared" si="6"/>
        <v>191000</v>
      </c>
    </row>
    <row r="120" spans="1:5" x14ac:dyDescent="0.25">
      <c r="A120" s="3"/>
      <c r="B120" s="42"/>
      <c r="C120" s="18">
        <v>15</v>
      </c>
      <c r="D120" s="18">
        <v>40</v>
      </c>
      <c r="E120" s="6">
        <f t="shared" si="6"/>
        <v>60000</v>
      </c>
    </row>
    <row r="121" spans="1:5" x14ac:dyDescent="0.25">
      <c r="A121" s="3"/>
      <c r="B121" s="42"/>
      <c r="C121" s="18">
        <v>39</v>
      </c>
      <c r="D121" s="18">
        <v>32</v>
      </c>
      <c r="E121" s="6">
        <f t="shared" si="6"/>
        <v>124000</v>
      </c>
    </row>
    <row r="122" spans="1:5" x14ac:dyDescent="0.25">
      <c r="A122" s="3"/>
      <c r="B122" s="42"/>
      <c r="C122" s="18">
        <v>17</v>
      </c>
      <c r="D122" s="18">
        <v>32</v>
      </c>
      <c r="E122" s="6">
        <f t="shared" si="6"/>
        <v>54000</v>
      </c>
    </row>
    <row r="123" spans="1:5" x14ac:dyDescent="0.25">
      <c r="A123" s="3"/>
      <c r="B123" s="43"/>
      <c r="C123" s="18">
        <v>211</v>
      </c>
      <c r="D123" s="18">
        <v>28</v>
      </c>
      <c r="E123" s="6">
        <f t="shared" si="6"/>
        <v>590000</v>
      </c>
    </row>
    <row r="124" spans="1:5" ht="19.5" thickBot="1" x14ac:dyDescent="0.3">
      <c r="A124" s="3"/>
      <c r="B124" s="7" t="s">
        <v>0</v>
      </c>
      <c r="C124" s="35">
        <f>SUM(C104:C123)</f>
        <v>1073</v>
      </c>
      <c r="D124" s="35">
        <f>SUM(D104:D123)</f>
        <v>612</v>
      </c>
      <c r="E124" s="10">
        <f>SUM(E104:E123)</f>
        <v>3452000</v>
      </c>
    </row>
    <row r="125" spans="1:5" ht="20.25" thickTop="1" thickBot="1" x14ac:dyDescent="0.3">
      <c r="A125" s="3"/>
    </row>
    <row r="126" spans="1:5" ht="19.5" thickTop="1" x14ac:dyDescent="0.25">
      <c r="A126" s="3"/>
      <c r="B126" s="41">
        <v>42161</v>
      </c>
      <c r="C126" s="34">
        <v>54</v>
      </c>
      <c r="D126" s="34">
        <v>31</v>
      </c>
      <c r="E126" s="5">
        <f t="shared" si="6"/>
        <v>167000</v>
      </c>
    </row>
    <row r="127" spans="1:5" x14ac:dyDescent="0.25">
      <c r="A127" s="3"/>
      <c r="B127" s="43"/>
      <c r="C127" s="18">
        <v>27</v>
      </c>
      <c r="D127" s="18">
        <v>31</v>
      </c>
      <c r="E127" s="6">
        <f t="shared" si="6"/>
        <v>83000</v>
      </c>
    </row>
    <row r="128" spans="1:5" ht="19.5" thickBot="1" x14ac:dyDescent="0.3">
      <c r="A128" s="3"/>
      <c r="B128" s="7" t="s">
        <v>0</v>
      </c>
      <c r="C128" s="35">
        <f>SUM(C126:C127)</f>
        <v>81</v>
      </c>
      <c r="D128" s="35">
        <f>SUM(D126:D127)</f>
        <v>62</v>
      </c>
      <c r="E128" s="10">
        <f>SUM(E126:E127)</f>
        <v>250000</v>
      </c>
    </row>
    <row r="129" spans="1:5" ht="20.25" thickTop="1" thickBot="1" x14ac:dyDescent="0.3">
      <c r="A129" s="3"/>
    </row>
    <row r="130" spans="1:5" ht="19.5" thickTop="1" x14ac:dyDescent="0.25">
      <c r="A130" s="3"/>
      <c r="B130" s="41">
        <v>42162</v>
      </c>
      <c r="C130" s="34">
        <v>47</v>
      </c>
      <c r="D130" s="34">
        <v>33</v>
      </c>
      <c r="E130" s="5">
        <f t="shared" si="6"/>
        <v>155000</v>
      </c>
    </row>
    <row r="131" spans="1:5" x14ac:dyDescent="0.25">
      <c r="A131" s="3"/>
      <c r="B131" s="42"/>
      <c r="C131" s="18">
        <v>47</v>
      </c>
      <c r="D131" s="18">
        <v>32</v>
      </c>
      <c r="E131" s="6">
        <f t="shared" si="6"/>
        <v>150000</v>
      </c>
    </row>
    <row r="132" spans="1:5" x14ac:dyDescent="0.25">
      <c r="A132" s="3"/>
      <c r="B132" s="42"/>
      <c r="C132" s="18">
        <v>20</v>
      </c>
      <c r="D132" s="18">
        <v>31</v>
      </c>
      <c r="E132" s="6">
        <f t="shared" si="6"/>
        <v>62000</v>
      </c>
    </row>
    <row r="133" spans="1:5" x14ac:dyDescent="0.25">
      <c r="A133" s="3"/>
      <c r="B133" s="42"/>
      <c r="C133" s="18">
        <v>12</v>
      </c>
      <c r="D133" s="18">
        <v>31</v>
      </c>
      <c r="E133" s="6">
        <f t="shared" si="6"/>
        <v>37000</v>
      </c>
    </row>
    <row r="134" spans="1:5" x14ac:dyDescent="0.25">
      <c r="A134" s="3"/>
      <c r="B134" s="42"/>
      <c r="C134" s="18">
        <v>60</v>
      </c>
      <c r="D134" s="18">
        <v>33</v>
      </c>
      <c r="E134" s="6">
        <f t="shared" si="6"/>
        <v>198000</v>
      </c>
    </row>
    <row r="135" spans="1:5" x14ac:dyDescent="0.25">
      <c r="A135" s="3"/>
      <c r="B135" s="42"/>
      <c r="C135" s="18">
        <v>23</v>
      </c>
      <c r="D135" s="18">
        <v>32</v>
      </c>
      <c r="E135" s="6">
        <f t="shared" si="6"/>
        <v>73000</v>
      </c>
    </row>
    <row r="136" spans="1:5" x14ac:dyDescent="0.25">
      <c r="A136" s="3"/>
      <c r="B136" s="42"/>
      <c r="C136" s="18">
        <v>25</v>
      </c>
      <c r="D136" s="18">
        <v>32</v>
      </c>
      <c r="E136" s="6">
        <f t="shared" si="6"/>
        <v>80000</v>
      </c>
    </row>
    <row r="137" spans="1:5" x14ac:dyDescent="0.25">
      <c r="A137" s="3"/>
      <c r="B137" s="42"/>
      <c r="C137" s="18">
        <v>39</v>
      </c>
      <c r="D137" s="18">
        <v>32</v>
      </c>
      <c r="E137" s="6">
        <f t="shared" si="6"/>
        <v>124000</v>
      </c>
    </row>
    <row r="138" spans="1:5" x14ac:dyDescent="0.25">
      <c r="A138" s="3"/>
      <c r="B138" s="42"/>
      <c r="C138" s="18">
        <v>61</v>
      </c>
      <c r="D138" s="18">
        <v>32</v>
      </c>
      <c r="E138" s="6">
        <f t="shared" si="6"/>
        <v>195000</v>
      </c>
    </row>
    <row r="139" spans="1:5" x14ac:dyDescent="0.25">
      <c r="A139" s="3"/>
      <c r="B139" s="42"/>
      <c r="C139" s="18">
        <v>55</v>
      </c>
      <c r="D139" s="18">
        <v>33</v>
      </c>
      <c r="E139" s="6">
        <f t="shared" si="6"/>
        <v>181000</v>
      </c>
    </row>
    <row r="140" spans="1:5" x14ac:dyDescent="0.25">
      <c r="A140" s="3"/>
      <c r="B140" s="42"/>
      <c r="C140" s="18">
        <v>53</v>
      </c>
      <c r="D140" s="18">
        <v>33</v>
      </c>
      <c r="E140" s="6">
        <f>_xlfn.CEILING.MATH(C140*D140/10*1000,1000)</f>
        <v>175000</v>
      </c>
    </row>
    <row r="141" spans="1:5" x14ac:dyDescent="0.25">
      <c r="A141" s="3"/>
      <c r="B141" s="42"/>
      <c r="C141" s="18">
        <v>38</v>
      </c>
      <c r="D141" s="18">
        <v>31</v>
      </c>
      <c r="E141" s="6">
        <f t="shared" si="6"/>
        <v>117000</v>
      </c>
    </row>
    <row r="142" spans="1:5" x14ac:dyDescent="0.25">
      <c r="A142" s="3"/>
      <c r="B142" s="42"/>
      <c r="C142" s="18">
        <f>36+72</f>
        <v>108</v>
      </c>
      <c r="D142" s="18">
        <v>31</v>
      </c>
      <c r="E142" s="6">
        <f t="shared" si="6"/>
        <v>334000</v>
      </c>
    </row>
    <row r="143" spans="1:5" x14ac:dyDescent="0.25">
      <c r="A143" s="3"/>
      <c r="B143" s="42"/>
      <c r="C143" s="18">
        <v>570</v>
      </c>
      <c r="D143" s="18">
        <v>31</v>
      </c>
      <c r="E143" s="6">
        <f t="shared" si="6"/>
        <v>1767000</v>
      </c>
    </row>
    <row r="144" spans="1:5" x14ac:dyDescent="0.25">
      <c r="A144" s="3"/>
      <c r="B144" s="42"/>
      <c r="C144" s="18">
        <v>575</v>
      </c>
      <c r="D144" s="18">
        <v>31</v>
      </c>
      <c r="E144" s="6">
        <f t="shared" si="6"/>
        <v>1782000</v>
      </c>
    </row>
    <row r="145" spans="1:5" x14ac:dyDescent="0.25">
      <c r="A145" s="3"/>
      <c r="B145" s="42"/>
      <c r="C145" s="18">
        <v>741</v>
      </c>
      <c r="D145" s="18">
        <v>31</v>
      </c>
      <c r="E145" s="6">
        <f t="shared" si="6"/>
        <v>2297000</v>
      </c>
    </row>
    <row r="146" spans="1:5" x14ac:dyDescent="0.25">
      <c r="A146" s="3"/>
      <c r="B146" s="43"/>
      <c r="C146" s="18">
        <v>263</v>
      </c>
      <c r="D146" s="18">
        <v>31</v>
      </c>
      <c r="E146" s="6">
        <f t="shared" si="6"/>
        <v>815000</v>
      </c>
    </row>
    <row r="147" spans="1:5" ht="19.5" thickBot="1" x14ac:dyDescent="0.3">
      <c r="A147" s="3"/>
      <c r="B147" s="7" t="s">
        <v>0</v>
      </c>
      <c r="C147" s="35">
        <f>SUM(C130:C146)</f>
        <v>2737</v>
      </c>
      <c r="D147" s="35">
        <f>SUM(D130:D146)</f>
        <v>540</v>
      </c>
      <c r="E147" s="10">
        <f>SUM(E130:E146)</f>
        <v>8542000</v>
      </c>
    </row>
    <row r="148" spans="1:5" ht="20.25" thickTop="1" thickBot="1" x14ac:dyDescent="0.3">
      <c r="A148" s="3"/>
    </row>
    <row r="149" spans="1:5" ht="19.5" thickTop="1" x14ac:dyDescent="0.25">
      <c r="A149" s="3"/>
      <c r="B149" s="41">
        <v>42163</v>
      </c>
      <c r="C149" s="34">
        <v>51</v>
      </c>
      <c r="D149" s="34">
        <v>32</v>
      </c>
      <c r="E149" s="5">
        <f t="shared" si="6"/>
        <v>163000</v>
      </c>
    </row>
    <row r="150" spans="1:5" x14ac:dyDescent="0.25">
      <c r="A150" s="3"/>
      <c r="B150" s="42"/>
      <c r="C150" s="18">
        <v>28</v>
      </c>
      <c r="D150" s="18">
        <v>32</v>
      </c>
      <c r="E150" s="6">
        <f t="shared" si="6"/>
        <v>89000</v>
      </c>
    </row>
    <row r="151" spans="1:5" x14ac:dyDescent="0.25">
      <c r="A151" s="3"/>
      <c r="B151" s="42"/>
      <c r="C151" s="18">
        <v>50</v>
      </c>
      <c r="D151" s="18">
        <v>32</v>
      </c>
      <c r="E151" s="6">
        <f t="shared" si="6"/>
        <v>160000</v>
      </c>
    </row>
    <row r="152" spans="1:5" x14ac:dyDescent="0.25">
      <c r="A152" s="3"/>
      <c r="B152" s="42"/>
      <c r="C152" s="18">
        <v>103</v>
      </c>
      <c r="D152" s="18">
        <v>31</v>
      </c>
      <c r="E152" s="6">
        <f t="shared" si="6"/>
        <v>319000</v>
      </c>
    </row>
    <row r="153" spans="1:5" x14ac:dyDescent="0.25">
      <c r="A153" s="3"/>
      <c r="B153" s="42"/>
      <c r="C153" s="18">
        <v>43</v>
      </c>
      <c r="D153" s="18">
        <v>32</v>
      </c>
      <c r="E153" s="6">
        <f t="shared" si="6"/>
        <v>137000</v>
      </c>
    </row>
    <row r="154" spans="1:5" x14ac:dyDescent="0.25">
      <c r="A154" s="3"/>
      <c r="B154" s="42"/>
      <c r="C154" s="18">
        <v>43</v>
      </c>
      <c r="D154" s="18">
        <v>31</v>
      </c>
      <c r="E154" s="6">
        <f t="shared" si="6"/>
        <v>133000</v>
      </c>
    </row>
    <row r="155" spans="1:5" x14ac:dyDescent="0.25">
      <c r="A155" s="3"/>
      <c r="B155" s="42"/>
      <c r="C155" s="18">
        <v>34</v>
      </c>
      <c r="D155" s="18">
        <v>32</v>
      </c>
      <c r="E155" s="6">
        <f t="shared" si="6"/>
        <v>108000</v>
      </c>
    </row>
    <row r="156" spans="1:5" x14ac:dyDescent="0.25">
      <c r="A156" s="3"/>
      <c r="B156" s="42"/>
      <c r="C156" s="18">
        <v>58</v>
      </c>
      <c r="D156" s="18">
        <v>32</v>
      </c>
      <c r="E156" s="6">
        <f t="shared" si="6"/>
        <v>185000</v>
      </c>
    </row>
    <row r="157" spans="1:5" x14ac:dyDescent="0.25">
      <c r="A157" s="3"/>
      <c r="B157" s="42"/>
      <c r="C157" s="18">
        <v>45</v>
      </c>
      <c r="D157" s="18">
        <v>31</v>
      </c>
      <c r="E157" s="6">
        <f t="shared" si="6"/>
        <v>139000</v>
      </c>
    </row>
    <row r="158" spans="1:5" x14ac:dyDescent="0.25">
      <c r="A158" s="3"/>
      <c r="B158" s="42"/>
      <c r="C158" s="18">
        <v>85</v>
      </c>
      <c r="D158" s="18">
        <v>32</v>
      </c>
      <c r="E158" s="6">
        <f t="shared" ref="E158:E194" si="7">FLOOR(C158*D158/10*1000,1000)</f>
        <v>272000</v>
      </c>
    </row>
    <row r="159" spans="1:5" x14ac:dyDescent="0.25">
      <c r="A159" s="3"/>
      <c r="B159" s="42"/>
      <c r="C159" s="18">
        <v>49</v>
      </c>
      <c r="D159" s="18">
        <v>32</v>
      </c>
      <c r="E159" s="6">
        <f t="shared" si="7"/>
        <v>156000</v>
      </c>
    </row>
    <row r="160" spans="1:5" x14ac:dyDescent="0.25">
      <c r="A160" s="3"/>
      <c r="B160" s="42"/>
      <c r="C160" s="18">
        <v>25</v>
      </c>
      <c r="D160" s="18">
        <v>32</v>
      </c>
      <c r="E160" s="6">
        <f t="shared" si="7"/>
        <v>80000</v>
      </c>
    </row>
    <row r="161" spans="1:5" x14ac:dyDescent="0.25">
      <c r="A161" s="3"/>
      <c r="B161" s="42"/>
      <c r="C161" s="18">
        <v>66</v>
      </c>
      <c r="D161" s="18">
        <v>33</v>
      </c>
      <c r="E161" s="6">
        <f t="shared" si="7"/>
        <v>217000</v>
      </c>
    </row>
    <row r="162" spans="1:5" x14ac:dyDescent="0.25">
      <c r="A162" s="3"/>
      <c r="B162" s="43"/>
      <c r="C162" s="18">
        <v>306</v>
      </c>
      <c r="D162" s="18">
        <v>31</v>
      </c>
      <c r="E162" s="6">
        <f>_xlfn.CEILING.MATH(C162*D162/10*1000,1000)+1000</f>
        <v>950000</v>
      </c>
    </row>
    <row r="163" spans="1:5" ht="19.5" thickBot="1" x14ac:dyDescent="0.3">
      <c r="A163" s="3"/>
      <c r="B163" s="7" t="s">
        <v>0</v>
      </c>
      <c r="C163" s="35">
        <f>SUM(C162)</f>
        <v>306</v>
      </c>
      <c r="D163" s="35">
        <f>SUM(D149:D162)</f>
        <v>445</v>
      </c>
      <c r="E163" s="10">
        <f>SUM(E149:E162)</f>
        <v>3108000</v>
      </c>
    </row>
    <row r="164" spans="1:5" ht="20.25" thickTop="1" thickBot="1" x14ac:dyDescent="0.3">
      <c r="A164" s="3"/>
    </row>
    <row r="165" spans="1:5" ht="19.5" thickTop="1" x14ac:dyDescent="0.25">
      <c r="A165" s="3"/>
      <c r="B165" s="41">
        <v>42164</v>
      </c>
      <c r="C165" s="34">
        <v>17</v>
      </c>
      <c r="D165" s="34">
        <v>31</v>
      </c>
      <c r="E165" s="5">
        <f t="shared" si="7"/>
        <v>52000</v>
      </c>
    </row>
    <row r="166" spans="1:5" x14ac:dyDescent="0.25">
      <c r="A166" s="3"/>
      <c r="B166" s="42"/>
      <c r="C166" s="18">
        <v>36</v>
      </c>
      <c r="D166" s="18">
        <v>31</v>
      </c>
      <c r="E166" s="6">
        <f t="shared" si="7"/>
        <v>111000</v>
      </c>
    </row>
    <row r="167" spans="1:5" x14ac:dyDescent="0.25">
      <c r="A167" s="3"/>
      <c r="B167" s="42"/>
      <c r="C167" s="18">
        <v>30</v>
      </c>
      <c r="D167" s="18">
        <v>31</v>
      </c>
      <c r="E167" s="6">
        <f t="shared" si="7"/>
        <v>93000</v>
      </c>
    </row>
    <row r="168" spans="1:5" x14ac:dyDescent="0.25">
      <c r="A168" s="3"/>
      <c r="B168" s="42"/>
      <c r="C168" s="18">
        <v>30</v>
      </c>
      <c r="D168" s="18">
        <v>31</v>
      </c>
      <c r="E168" s="6">
        <f t="shared" si="7"/>
        <v>93000</v>
      </c>
    </row>
    <row r="169" spans="1:5" x14ac:dyDescent="0.25">
      <c r="A169" s="3"/>
      <c r="B169" s="42"/>
      <c r="C169" s="18">
        <v>32</v>
      </c>
      <c r="D169" s="18">
        <v>32</v>
      </c>
      <c r="E169" s="6">
        <f t="shared" si="7"/>
        <v>102000</v>
      </c>
    </row>
    <row r="170" spans="1:5" x14ac:dyDescent="0.25">
      <c r="A170" s="3"/>
      <c r="B170" s="42"/>
      <c r="C170" s="18">
        <v>55</v>
      </c>
      <c r="D170" s="18">
        <v>32</v>
      </c>
      <c r="E170" s="6">
        <f t="shared" si="7"/>
        <v>176000</v>
      </c>
    </row>
    <row r="171" spans="1:5" x14ac:dyDescent="0.25">
      <c r="A171" s="3"/>
      <c r="B171" s="42"/>
      <c r="C171" s="18">
        <v>49</v>
      </c>
      <c r="D171" s="18">
        <v>32</v>
      </c>
      <c r="E171" s="6">
        <f t="shared" si="7"/>
        <v>156000</v>
      </c>
    </row>
    <row r="172" spans="1:5" x14ac:dyDescent="0.25">
      <c r="A172" s="3"/>
      <c r="B172" s="42"/>
      <c r="C172" s="18">
        <v>43</v>
      </c>
      <c r="D172" s="18">
        <v>34</v>
      </c>
      <c r="E172" s="6">
        <f t="shared" si="7"/>
        <v>146000</v>
      </c>
    </row>
    <row r="173" spans="1:5" x14ac:dyDescent="0.25">
      <c r="A173" s="3"/>
      <c r="B173" s="42"/>
      <c r="C173" s="18">
        <v>38</v>
      </c>
      <c r="D173" s="18">
        <v>34</v>
      </c>
      <c r="E173" s="6">
        <f t="shared" si="7"/>
        <v>129000</v>
      </c>
    </row>
    <row r="174" spans="1:5" x14ac:dyDescent="0.25">
      <c r="A174" s="3"/>
      <c r="B174" s="42"/>
      <c r="C174" s="18">
        <v>15</v>
      </c>
      <c r="D174" s="18">
        <v>33</v>
      </c>
      <c r="E174" s="6">
        <f>_xlfn.CEILING.MATH(C174*D174/10*1000,1000)</f>
        <v>50000</v>
      </c>
    </row>
    <row r="175" spans="1:5" x14ac:dyDescent="0.25">
      <c r="A175" s="3"/>
      <c r="B175" s="42"/>
      <c r="C175" s="18">
        <v>77</v>
      </c>
      <c r="D175" s="18">
        <v>32</v>
      </c>
      <c r="E175" s="6">
        <f t="shared" si="7"/>
        <v>246000</v>
      </c>
    </row>
    <row r="176" spans="1:5" x14ac:dyDescent="0.25">
      <c r="A176" s="3"/>
      <c r="B176" s="42"/>
      <c r="C176" s="18">
        <v>37</v>
      </c>
      <c r="D176" s="18">
        <v>30</v>
      </c>
      <c r="E176" s="6">
        <f t="shared" si="7"/>
        <v>111000</v>
      </c>
    </row>
    <row r="177" spans="1:5" x14ac:dyDescent="0.25">
      <c r="A177" s="3"/>
      <c r="B177" s="42"/>
      <c r="C177" s="18">
        <v>90</v>
      </c>
      <c r="D177" s="18">
        <v>35</v>
      </c>
      <c r="E177" s="6">
        <f t="shared" si="7"/>
        <v>315000</v>
      </c>
    </row>
    <row r="178" spans="1:5" x14ac:dyDescent="0.25">
      <c r="A178" s="3"/>
      <c r="B178" s="42"/>
      <c r="C178" s="18">
        <v>189</v>
      </c>
      <c r="D178" s="18">
        <v>31</v>
      </c>
      <c r="E178" s="6">
        <f>_xlfn.CEILING.MATH(C178*D178/10*1000,1000)</f>
        <v>586000</v>
      </c>
    </row>
    <row r="179" spans="1:5" x14ac:dyDescent="0.25">
      <c r="A179" s="3"/>
      <c r="B179" s="43"/>
      <c r="C179" s="18">
        <v>33</v>
      </c>
      <c r="D179" s="18">
        <v>33</v>
      </c>
      <c r="E179" s="6">
        <f>_xlfn.CEILING.MATH(C179*D179/10*1000,1000)</f>
        <v>109000</v>
      </c>
    </row>
    <row r="180" spans="1:5" ht="19.5" thickBot="1" x14ac:dyDescent="0.3">
      <c r="A180" s="3"/>
      <c r="B180" s="7" t="s">
        <v>0</v>
      </c>
      <c r="C180" s="35">
        <f>SUM(C165:C179)</f>
        <v>771</v>
      </c>
      <c r="D180" s="35">
        <f>SUM(D165:D179)</f>
        <v>482</v>
      </c>
      <c r="E180" s="10">
        <f>SUM(E165:E179)</f>
        <v>2475000</v>
      </c>
    </row>
    <row r="181" spans="1:5" ht="20.25" thickTop="1" thickBot="1" x14ac:dyDescent="0.3">
      <c r="A181" s="3"/>
    </row>
    <row r="182" spans="1:5" ht="19.5" thickTop="1" x14ac:dyDescent="0.25">
      <c r="A182" s="3"/>
      <c r="B182" s="41">
        <v>42165</v>
      </c>
      <c r="C182" s="34">
        <v>36</v>
      </c>
      <c r="D182" s="34">
        <v>34</v>
      </c>
      <c r="E182" s="5">
        <f t="shared" si="7"/>
        <v>122000</v>
      </c>
    </row>
    <row r="183" spans="1:5" x14ac:dyDescent="0.25">
      <c r="A183" s="3"/>
      <c r="B183" s="42"/>
      <c r="C183" s="18">
        <v>28</v>
      </c>
      <c r="D183" s="18">
        <v>32</v>
      </c>
      <c r="E183" s="6">
        <f>_xlfn.CEILING.MATH(C183*D183/10*1000,1000)</f>
        <v>90000</v>
      </c>
    </row>
    <row r="184" spans="1:5" x14ac:dyDescent="0.25">
      <c r="A184" s="3"/>
      <c r="B184" s="42"/>
      <c r="C184" s="18">
        <v>20</v>
      </c>
      <c r="D184" s="18">
        <v>33</v>
      </c>
      <c r="E184" s="6">
        <f t="shared" si="7"/>
        <v>66000</v>
      </c>
    </row>
    <row r="185" spans="1:5" x14ac:dyDescent="0.25">
      <c r="A185" s="3"/>
      <c r="B185" s="42"/>
      <c r="C185" s="18">
        <v>40</v>
      </c>
      <c r="D185" s="18">
        <v>31</v>
      </c>
      <c r="E185" s="6">
        <f t="shared" si="7"/>
        <v>124000</v>
      </c>
    </row>
    <row r="186" spans="1:5" x14ac:dyDescent="0.25">
      <c r="A186" s="3"/>
      <c r="B186" s="42"/>
      <c r="C186" s="18">
        <v>22</v>
      </c>
      <c r="D186" s="18">
        <v>38</v>
      </c>
      <c r="E186" s="6">
        <f t="shared" si="7"/>
        <v>83000</v>
      </c>
    </row>
    <row r="187" spans="1:5" x14ac:dyDescent="0.25">
      <c r="A187" s="3"/>
      <c r="B187" s="42"/>
      <c r="C187" s="18">
        <v>22</v>
      </c>
      <c r="D187" s="18">
        <v>33</v>
      </c>
      <c r="E187" s="6">
        <f t="shared" si="7"/>
        <v>72000</v>
      </c>
    </row>
    <row r="188" spans="1:5" x14ac:dyDescent="0.25">
      <c r="A188" s="3"/>
      <c r="B188" s="42"/>
      <c r="C188" s="18">
        <v>14</v>
      </c>
      <c r="D188" s="18">
        <v>30</v>
      </c>
      <c r="E188" s="6">
        <f t="shared" si="7"/>
        <v>42000</v>
      </c>
    </row>
    <row r="189" spans="1:5" x14ac:dyDescent="0.25">
      <c r="A189" s="3"/>
      <c r="B189" s="42"/>
      <c r="C189" s="18">
        <v>24</v>
      </c>
      <c r="D189" s="18">
        <v>32</v>
      </c>
      <c r="E189" s="6">
        <f t="shared" si="7"/>
        <v>76000</v>
      </c>
    </row>
    <row r="190" spans="1:5" x14ac:dyDescent="0.25">
      <c r="A190" s="3"/>
      <c r="B190" s="42"/>
      <c r="C190" s="18">
        <v>650</v>
      </c>
      <c r="D190" s="18">
        <v>32</v>
      </c>
      <c r="E190" s="6">
        <f t="shared" si="7"/>
        <v>2080000</v>
      </c>
    </row>
    <row r="191" spans="1:5" x14ac:dyDescent="0.25">
      <c r="A191" s="3"/>
      <c r="B191" s="42"/>
      <c r="C191" s="18">
        <v>27</v>
      </c>
      <c r="D191" s="18">
        <v>35</v>
      </c>
      <c r="E191" s="6">
        <f t="shared" si="7"/>
        <v>94000</v>
      </c>
    </row>
    <row r="192" spans="1:5" x14ac:dyDescent="0.25">
      <c r="A192" s="3"/>
      <c r="B192" s="42"/>
      <c r="C192" s="18">
        <v>21</v>
      </c>
      <c r="D192" s="18">
        <v>33</v>
      </c>
      <c r="E192" s="6">
        <f t="shared" si="7"/>
        <v>69000</v>
      </c>
    </row>
    <row r="193" spans="1:5" x14ac:dyDescent="0.25">
      <c r="A193" s="3"/>
      <c r="B193" s="42"/>
      <c r="C193" s="18">
        <v>46</v>
      </c>
      <c r="D193" s="18">
        <v>32</v>
      </c>
      <c r="E193" s="6">
        <f t="shared" si="7"/>
        <v>147000</v>
      </c>
    </row>
    <row r="194" spans="1:5" x14ac:dyDescent="0.25">
      <c r="A194" s="3"/>
      <c r="B194" s="43"/>
      <c r="C194" s="18">
        <v>55</v>
      </c>
      <c r="D194" s="18">
        <v>33</v>
      </c>
      <c r="E194" s="6">
        <f t="shared" si="7"/>
        <v>181000</v>
      </c>
    </row>
    <row r="195" spans="1:5" ht="19.5" thickBot="1" x14ac:dyDescent="0.3">
      <c r="A195" s="3"/>
      <c r="B195" s="7" t="s">
        <v>0</v>
      </c>
      <c r="C195" s="36">
        <f>SUM(C182:C194)</f>
        <v>1005</v>
      </c>
      <c r="D195" s="36">
        <f>SUM(D182:D194)</f>
        <v>428</v>
      </c>
      <c r="E195" s="10">
        <f>SUM(E182:E194)</f>
        <v>3246000</v>
      </c>
    </row>
    <row r="196" spans="1:5" ht="20.25" thickTop="1" thickBot="1" x14ac:dyDescent="0.3">
      <c r="A196" s="3"/>
    </row>
    <row r="197" spans="1:5" ht="19.5" thickTop="1" x14ac:dyDescent="0.25">
      <c r="A197" s="3"/>
      <c r="B197" s="41">
        <v>42166</v>
      </c>
      <c r="C197" s="34">
        <v>5</v>
      </c>
      <c r="D197" s="34">
        <v>32</v>
      </c>
      <c r="E197" s="5">
        <f t="shared" ref="E197:E210" si="8">FLOOR(C197*D197/10*1000,1000)</f>
        <v>16000</v>
      </c>
    </row>
    <row r="198" spans="1:5" x14ac:dyDescent="0.25">
      <c r="A198" s="3"/>
      <c r="B198" s="42"/>
      <c r="C198" s="18">
        <v>31</v>
      </c>
      <c r="D198" s="18">
        <v>31</v>
      </c>
      <c r="E198" s="6">
        <f t="shared" si="8"/>
        <v>96000</v>
      </c>
    </row>
    <row r="199" spans="1:5" x14ac:dyDescent="0.25">
      <c r="A199" s="3"/>
      <c r="B199" s="42"/>
      <c r="C199" s="18">
        <v>234</v>
      </c>
      <c r="D199" s="18">
        <v>36</v>
      </c>
      <c r="E199" s="6">
        <f t="shared" si="8"/>
        <v>842000</v>
      </c>
    </row>
    <row r="200" spans="1:5" x14ac:dyDescent="0.25">
      <c r="A200" s="3"/>
      <c r="B200" s="42"/>
      <c r="C200" s="18">
        <v>50</v>
      </c>
      <c r="D200" s="18">
        <v>40</v>
      </c>
      <c r="E200" s="6">
        <f t="shared" si="8"/>
        <v>200000</v>
      </c>
    </row>
    <row r="201" spans="1:5" x14ac:dyDescent="0.25">
      <c r="A201" s="3"/>
      <c r="B201" s="42"/>
      <c r="C201" s="18">
        <v>25</v>
      </c>
      <c r="D201" s="18">
        <v>34</v>
      </c>
      <c r="E201" s="6">
        <f t="shared" si="8"/>
        <v>85000</v>
      </c>
    </row>
    <row r="202" spans="1:5" x14ac:dyDescent="0.25">
      <c r="A202" s="3"/>
      <c r="B202" s="42"/>
      <c r="C202" s="18">
        <v>378</v>
      </c>
      <c r="D202" s="18">
        <v>38</v>
      </c>
      <c r="E202" s="6">
        <f t="shared" si="8"/>
        <v>1436000</v>
      </c>
    </row>
    <row r="203" spans="1:5" x14ac:dyDescent="0.25">
      <c r="A203" s="3"/>
      <c r="B203" s="42"/>
      <c r="C203" s="18">
        <v>310</v>
      </c>
      <c r="D203" s="18">
        <v>34</v>
      </c>
      <c r="E203" s="6">
        <f t="shared" si="8"/>
        <v>1054000</v>
      </c>
    </row>
    <row r="204" spans="1:5" x14ac:dyDescent="0.25">
      <c r="A204" s="3"/>
      <c r="B204" s="42"/>
      <c r="C204" s="18">
        <v>34</v>
      </c>
      <c r="D204" s="18">
        <v>31</v>
      </c>
      <c r="E204" s="6">
        <f t="shared" si="8"/>
        <v>105000</v>
      </c>
    </row>
    <row r="205" spans="1:5" x14ac:dyDescent="0.25">
      <c r="A205" s="3"/>
      <c r="B205" s="42"/>
      <c r="C205" s="18">
        <v>31</v>
      </c>
      <c r="D205" s="18">
        <v>31</v>
      </c>
      <c r="E205" s="6">
        <f t="shared" si="8"/>
        <v>96000</v>
      </c>
    </row>
    <row r="206" spans="1:5" x14ac:dyDescent="0.25">
      <c r="A206" s="3"/>
      <c r="B206" s="42"/>
      <c r="C206" s="18">
        <v>68</v>
      </c>
      <c r="D206" s="18">
        <v>36</v>
      </c>
      <c r="E206" s="6">
        <f t="shared" si="8"/>
        <v>244000</v>
      </c>
    </row>
    <row r="207" spans="1:5" x14ac:dyDescent="0.25">
      <c r="A207" s="3"/>
      <c r="B207" s="42"/>
      <c r="C207" s="18">
        <v>196</v>
      </c>
      <c r="D207" s="18">
        <v>36</v>
      </c>
      <c r="E207" s="6">
        <f t="shared" si="8"/>
        <v>705000</v>
      </c>
    </row>
    <row r="208" spans="1:5" x14ac:dyDescent="0.25">
      <c r="A208" s="3"/>
      <c r="B208" s="42"/>
      <c r="C208" s="18">
        <v>22</v>
      </c>
      <c r="D208" s="18">
        <v>32</v>
      </c>
      <c r="E208" s="6">
        <f t="shared" si="8"/>
        <v>70000</v>
      </c>
    </row>
    <row r="209" spans="1:9" x14ac:dyDescent="0.25">
      <c r="A209" s="3"/>
      <c r="B209" s="42"/>
      <c r="C209" s="18">
        <v>231</v>
      </c>
      <c r="D209" s="18">
        <v>38</v>
      </c>
      <c r="E209" s="6">
        <f t="shared" si="8"/>
        <v>877000</v>
      </c>
    </row>
    <row r="210" spans="1:9" x14ac:dyDescent="0.25">
      <c r="A210" s="3"/>
      <c r="B210" s="43"/>
      <c r="C210" s="18">
        <v>46</v>
      </c>
      <c r="D210" s="18">
        <v>32</v>
      </c>
      <c r="E210" s="6">
        <f t="shared" si="8"/>
        <v>147000</v>
      </c>
    </row>
    <row r="211" spans="1:9" ht="19.5" thickBot="1" x14ac:dyDescent="0.3">
      <c r="A211" s="3"/>
      <c r="B211" s="7" t="s">
        <v>0</v>
      </c>
      <c r="C211" s="8">
        <f>SUM(C197:C210)</f>
        <v>1661</v>
      </c>
      <c r="D211" s="8">
        <f>SUM(D197:D210)</f>
        <v>481</v>
      </c>
      <c r="E211" s="9">
        <f>SUM(E197:E210)</f>
        <v>5973000</v>
      </c>
    </row>
    <row r="212" spans="1:9" ht="19.5" thickTop="1" x14ac:dyDescent="0.25">
      <c r="A212" s="3"/>
      <c r="C212" s="4"/>
      <c r="D212" s="4"/>
      <c r="E212" s="4"/>
    </row>
    <row r="213" spans="1:9" x14ac:dyDescent="0.25">
      <c r="A213" s="3"/>
      <c r="C213" s="4"/>
      <c r="D213" s="4"/>
      <c r="E213" s="4"/>
    </row>
    <row r="214" spans="1:9" x14ac:dyDescent="0.25">
      <c r="A214" s="3"/>
      <c r="C214" s="4"/>
      <c r="D214" s="37"/>
      <c r="E214" s="4"/>
    </row>
    <row r="215" spans="1:9" x14ac:dyDescent="0.3">
      <c r="B215" s="15">
        <v>42171</v>
      </c>
      <c r="C215" s="2">
        <v>54</v>
      </c>
      <c r="D215" s="2">
        <v>34</v>
      </c>
      <c r="E215" s="12">
        <f t="shared" ref="E215:E234" si="9">FLOOR(C215*D215/10*1000,1000)</f>
        <v>183000</v>
      </c>
      <c r="F215" s="38"/>
      <c r="G215" s="15">
        <v>42171</v>
      </c>
      <c r="H215" s="32"/>
      <c r="I215" s="32"/>
    </row>
    <row r="216" spans="1:9" x14ac:dyDescent="0.3">
      <c r="B216" s="15">
        <v>42171</v>
      </c>
      <c r="C216" s="2">
        <v>6</v>
      </c>
      <c r="D216" s="2">
        <v>34</v>
      </c>
      <c r="E216" s="12">
        <f t="shared" si="9"/>
        <v>20000</v>
      </c>
      <c r="F216" s="38"/>
      <c r="G216" s="15">
        <v>42171</v>
      </c>
      <c r="H216" s="32"/>
      <c r="I216" s="32"/>
    </row>
    <row r="217" spans="1:9" x14ac:dyDescent="0.3">
      <c r="B217" s="15">
        <v>42171</v>
      </c>
      <c r="C217" s="2">
        <v>33</v>
      </c>
      <c r="D217" s="2">
        <v>35</v>
      </c>
      <c r="E217" s="12">
        <f t="shared" si="9"/>
        <v>115000</v>
      </c>
      <c r="F217" s="38"/>
      <c r="G217" s="15">
        <v>42171</v>
      </c>
      <c r="H217" s="32"/>
      <c r="I217" s="32"/>
    </row>
    <row r="218" spans="1:9" x14ac:dyDescent="0.3">
      <c r="B218" s="15">
        <v>42171</v>
      </c>
      <c r="C218" s="2">
        <v>27</v>
      </c>
      <c r="D218" s="2">
        <v>32</v>
      </c>
      <c r="E218" s="12">
        <f t="shared" si="9"/>
        <v>86000</v>
      </c>
      <c r="F218" s="38"/>
      <c r="G218" s="15">
        <v>42171</v>
      </c>
      <c r="H218" s="32"/>
      <c r="I218" s="32"/>
    </row>
    <row r="219" spans="1:9" x14ac:dyDescent="0.3">
      <c r="B219" s="15">
        <v>42171</v>
      </c>
      <c r="C219" s="2">
        <v>27</v>
      </c>
      <c r="D219" s="2">
        <v>32</v>
      </c>
      <c r="E219" s="12">
        <f t="shared" si="9"/>
        <v>86000</v>
      </c>
      <c r="F219" s="38"/>
      <c r="G219" s="15">
        <v>42171</v>
      </c>
      <c r="H219" s="32"/>
      <c r="I219" s="32"/>
    </row>
    <row r="220" spans="1:9" x14ac:dyDescent="0.3">
      <c r="B220" s="15">
        <v>42171</v>
      </c>
      <c r="C220" s="2">
        <v>44</v>
      </c>
      <c r="D220" s="2">
        <v>33</v>
      </c>
      <c r="E220" s="12">
        <f t="shared" si="9"/>
        <v>145000</v>
      </c>
      <c r="F220" s="38"/>
      <c r="G220" s="15">
        <v>42171</v>
      </c>
      <c r="H220" s="32"/>
      <c r="I220" s="32"/>
    </row>
    <row r="221" spans="1:9" x14ac:dyDescent="0.3">
      <c r="B221" s="15">
        <v>42171</v>
      </c>
      <c r="C221" s="2">
        <v>11</v>
      </c>
      <c r="D221" s="2">
        <v>40</v>
      </c>
      <c r="E221" s="12">
        <f t="shared" si="9"/>
        <v>44000</v>
      </c>
      <c r="F221" s="38"/>
      <c r="G221" s="15">
        <v>42171</v>
      </c>
      <c r="H221" s="32"/>
      <c r="I221" s="32"/>
    </row>
    <row r="222" spans="1:9" x14ac:dyDescent="0.3">
      <c r="B222" s="15">
        <v>42171</v>
      </c>
      <c r="C222" s="2">
        <v>53</v>
      </c>
      <c r="D222" s="2">
        <v>31</v>
      </c>
      <c r="E222" s="12">
        <f t="shared" si="9"/>
        <v>164000</v>
      </c>
      <c r="F222" s="38"/>
      <c r="G222" s="15">
        <v>42171</v>
      </c>
      <c r="H222" s="32"/>
      <c r="I222" s="32"/>
    </row>
    <row r="223" spans="1:9" x14ac:dyDescent="0.3">
      <c r="B223" s="15">
        <v>42171</v>
      </c>
      <c r="C223" s="2">
        <v>52</v>
      </c>
      <c r="D223" s="2">
        <v>34</v>
      </c>
      <c r="E223" s="12">
        <f t="shared" si="9"/>
        <v>176000</v>
      </c>
      <c r="F223" s="38"/>
      <c r="G223" s="15">
        <v>42171</v>
      </c>
      <c r="H223" s="32"/>
      <c r="I223" s="32"/>
    </row>
    <row r="224" spans="1:9" x14ac:dyDescent="0.3">
      <c r="B224" s="15">
        <v>42171</v>
      </c>
      <c r="C224" s="2">
        <v>26</v>
      </c>
      <c r="D224" s="2">
        <v>32</v>
      </c>
      <c r="E224" s="12">
        <f t="shared" si="9"/>
        <v>83000</v>
      </c>
      <c r="F224" s="38"/>
      <c r="G224" s="15">
        <v>42171</v>
      </c>
      <c r="H224" s="32"/>
      <c r="I224" s="32"/>
    </row>
    <row r="225" spans="2:9" x14ac:dyDescent="0.3">
      <c r="B225" s="15">
        <v>42171</v>
      </c>
      <c r="C225" s="2">
        <v>35</v>
      </c>
      <c r="D225" s="2">
        <v>35</v>
      </c>
      <c r="E225" s="12">
        <f t="shared" si="9"/>
        <v>122000</v>
      </c>
      <c r="F225" s="38">
        <v>-2000</v>
      </c>
      <c r="G225" s="15">
        <v>42171</v>
      </c>
      <c r="H225" s="32"/>
      <c r="I225" s="32"/>
    </row>
    <row r="226" spans="2:9" x14ac:dyDescent="0.3">
      <c r="B226" s="15">
        <v>42171</v>
      </c>
      <c r="C226" s="2">
        <v>47</v>
      </c>
      <c r="D226" s="2">
        <v>36</v>
      </c>
      <c r="E226" s="12">
        <f t="shared" si="9"/>
        <v>169000</v>
      </c>
      <c r="F226" s="38"/>
      <c r="G226" s="15">
        <v>42171</v>
      </c>
      <c r="H226" s="32"/>
      <c r="I226" s="32"/>
    </row>
    <row r="227" spans="2:9" x14ac:dyDescent="0.3">
      <c r="B227" s="15">
        <v>42171</v>
      </c>
      <c r="C227" s="2">
        <v>48</v>
      </c>
      <c r="D227" s="2">
        <v>31</v>
      </c>
      <c r="E227" s="12">
        <f t="shared" si="9"/>
        <v>148000</v>
      </c>
      <c r="F227" s="38"/>
      <c r="G227" s="15">
        <v>42171</v>
      </c>
      <c r="H227" s="32"/>
      <c r="I227" s="32"/>
    </row>
    <row r="228" spans="2:9" x14ac:dyDescent="0.3">
      <c r="B228" s="15">
        <v>42171</v>
      </c>
      <c r="C228" s="2">
        <v>62</v>
      </c>
      <c r="D228" s="2">
        <v>30</v>
      </c>
      <c r="E228" s="12">
        <f t="shared" si="9"/>
        <v>186000</v>
      </c>
      <c r="F228" s="38"/>
      <c r="G228" s="15">
        <v>42171</v>
      </c>
      <c r="H228" s="32"/>
      <c r="I228" s="32"/>
    </row>
    <row r="229" spans="2:9" x14ac:dyDescent="0.3">
      <c r="B229" s="15">
        <v>42171</v>
      </c>
      <c r="C229" s="2">
        <v>39</v>
      </c>
      <c r="D229" s="2">
        <v>35</v>
      </c>
      <c r="E229" s="12">
        <f t="shared" si="9"/>
        <v>136000</v>
      </c>
      <c r="F229" s="38"/>
      <c r="G229" s="15">
        <v>42171</v>
      </c>
      <c r="H229" s="32"/>
      <c r="I229" s="32"/>
    </row>
    <row r="230" spans="2:9" x14ac:dyDescent="0.3">
      <c r="B230" s="15">
        <v>42171</v>
      </c>
      <c r="C230" s="2">
        <v>87</v>
      </c>
      <c r="D230" s="2">
        <v>36</v>
      </c>
      <c r="E230" s="12">
        <f t="shared" si="9"/>
        <v>313000</v>
      </c>
      <c r="F230" s="38">
        <v>-1000</v>
      </c>
      <c r="G230" s="15">
        <v>42171</v>
      </c>
      <c r="H230" s="32"/>
      <c r="I230" s="32"/>
    </row>
    <row r="231" spans="2:9" x14ac:dyDescent="0.3">
      <c r="B231" s="15">
        <v>42171</v>
      </c>
      <c r="C231" s="2">
        <v>1109</v>
      </c>
      <c r="D231" s="2">
        <v>31</v>
      </c>
      <c r="E231" s="12">
        <f t="shared" si="9"/>
        <v>3437000</v>
      </c>
      <c r="F231" s="38"/>
      <c r="G231" s="32" t="s">
        <v>35</v>
      </c>
      <c r="H231" s="32"/>
      <c r="I231" s="32"/>
    </row>
    <row r="232" spans="2:9" x14ac:dyDescent="0.3">
      <c r="B232" s="15">
        <v>42171</v>
      </c>
      <c r="C232" s="2">
        <v>293</v>
      </c>
      <c r="D232" s="2">
        <v>31</v>
      </c>
      <c r="E232" s="12">
        <f t="shared" si="9"/>
        <v>908000</v>
      </c>
      <c r="F232" s="38"/>
      <c r="G232" s="15">
        <v>42171</v>
      </c>
      <c r="H232" s="32"/>
      <c r="I232" s="32"/>
    </row>
    <row r="233" spans="2:9" x14ac:dyDescent="0.3">
      <c r="B233" s="15">
        <v>42171</v>
      </c>
      <c r="C233" s="2">
        <v>15</v>
      </c>
      <c r="D233" s="2">
        <v>45</v>
      </c>
      <c r="E233" s="12">
        <f t="shared" si="9"/>
        <v>67000</v>
      </c>
      <c r="F233" s="38"/>
      <c r="G233" s="15">
        <v>42171</v>
      </c>
      <c r="H233" s="32"/>
      <c r="I233" s="32"/>
    </row>
    <row r="234" spans="2:9" x14ac:dyDescent="0.3">
      <c r="B234" s="15">
        <v>42171</v>
      </c>
      <c r="C234" s="2">
        <v>936</v>
      </c>
      <c r="D234" s="2">
        <v>32</v>
      </c>
      <c r="E234" s="12">
        <f t="shared" si="9"/>
        <v>2995000</v>
      </c>
      <c r="F234" s="38"/>
      <c r="G234" s="15">
        <v>42171</v>
      </c>
      <c r="H234" s="32"/>
      <c r="I234" s="32"/>
    </row>
    <row r="235" spans="2:9" x14ac:dyDescent="0.3">
      <c r="B235" s="15">
        <v>42171</v>
      </c>
      <c r="C235" s="2">
        <f>SUM(C215:C234)</f>
        <v>3004</v>
      </c>
      <c r="E235" s="2">
        <f>SUM(E215:F234)</f>
        <v>9580000</v>
      </c>
      <c r="F235" s="38"/>
      <c r="G235" s="15">
        <v>42171</v>
      </c>
      <c r="H235" s="32"/>
      <c r="I235" s="32"/>
    </row>
    <row r="236" spans="2:9" x14ac:dyDescent="0.3">
      <c r="B236" s="39"/>
      <c r="F236" s="38"/>
      <c r="G236" s="32"/>
      <c r="H236" s="32"/>
      <c r="I236" s="32"/>
    </row>
    <row r="237" spans="2:9" x14ac:dyDescent="0.3">
      <c r="B237" s="15">
        <v>42172</v>
      </c>
      <c r="C237" s="2">
        <v>178</v>
      </c>
      <c r="D237" s="2">
        <v>30</v>
      </c>
      <c r="E237" s="12">
        <f t="shared" ref="E237:E248" si="10">FLOOR(C237*D237/10*1000,1000)</f>
        <v>534000</v>
      </c>
      <c r="F237" s="38"/>
      <c r="G237" s="15">
        <v>42172</v>
      </c>
      <c r="H237" s="32"/>
      <c r="I237" s="32"/>
    </row>
    <row r="238" spans="2:9" x14ac:dyDescent="0.3">
      <c r="B238" s="15">
        <v>42172</v>
      </c>
      <c r="C238" s="2">
        <v>27</v>
      </c>
      <c r="D238" s="2">
        <v>38</v>
      </c>
      <c r="E238" s="12">
        <f t="shared" si="10"/>
        <v>102000</v>
      </c>
      <c r="F238" s="38"/>
      <c r="G238" s="15">
        <v>42172</v>
      </c>
      <c r="H238" s="32"/>
      <c r="I238" s="32"/>
    </row>
    <row r="239" spans="2:9" x14ac:dyDescent="0.3">
      <c r="B239" s="15">
        <v>42172</v>
      </c>
      <c r="C239" s="2">
        <v>32</v>
      </c>
      <c r="D239" s="2">
        <v>32</v>
      </c>
      <c r="E239" s="12">
        <f t="shared" si="10"/>
        <v>102000</v>
      </c>
      <c r="F239" s="38">
        <v>2000</v>
      </c>
      <c r="G239" s="15">
        <v>42172</v>
      </c>
      <c r="H239" s="32"/>
      <c r="I239" s="32"/>
    </row>
    <row r="240" spans="2:9" x14ac:dyDescent="0.3">
      <c r="B240" s="15">
        <v>42172</v>
      </c>
      <c r="C240" s="2">
        <v>57</v>
      </c>
      <c r="D240" s="2">
        <v>33</v>
      </c>
      <c r="E240" s="12">
        <f t="shared" si="10"/>
        <v>188000</v>
      </c>
      <c r="F240" s="38"/>
      <c r="G240" s="15">
        <v>42172</v>
      </c>
      <c r="H240" s="32"/>
      <c r="I240" s="32"/>
    </row>
    <row r="241" spans="2:9" x14ac:dyDescent="0.3">
      <c r="B241" s="15">
        <v>42172</v>
      </c>
      <c r="C241" s="2">
        <v>70</v>
      </c>
      <c r="D241" s="2">
        <v>33</v>
      </c>
      <c r="E241" s="12">
        <f t="shared" si="10"/>
        <v>231000</v>
      </c>
      <c r="F241" s="38"/>
      <c r="G241" s="15">
        <v>42172</v>
      </c>
      <c r="H241" s="32"/>
      <c r="I241" s="32"/>
    </row>
    <row r="242" spans="2:9" x14ac:dyDescent="0.3">
      <c r="B242" s="15">
        <v>42172</v>
      </c>
      <c r="C242" s="2">
        <v>67</v>
      </c>
      <c r="D242" s="2">
        <v>32</v>
      </c>
      <c r="E242" s="12">
        <f t="shared" si="10"/>
        <v>214000</v>
      </c>
      <c r="F242" s="38"/>
      <c r="G242" s="15">
        <v>42172</v>
      </c>
      <c r="H242" s="32"/>
      <c r="I242" s="32"/>
    </row>
    <row r="243" spans="2:9" x14ac:dyDescent="0.3">
      <c r="B243" s="15">
        <v>42172</v>
      </c>
      <c r="C243" s="2">
        <v>47</v>
      </c>
      <c r="D243" s="2">
        <v>30</v>
      </c>
      <c r="E243" s="12">
        <f t="shared" si="10"/>
        <v>141000</v>
      </c>
      <c r="F243" s="38"/>
      <c r="G243" s="15">
        <v>42172</v>
      </c>
      <c r="H243" s="32"/>
      <c r="I243" s="32"/>
    </row>
    <row r="244" spans="2:9" x14ac:dyDescent="0.3">
      <c r="B244" s="15">
        <v>42172</v>
      </c>
      <c r="C244" s="2">
        <v>262</v>
      </c>
      <c r="D244" s="2">
        <v>32</v>
      </c>
      <c r="E244" s="12">
        <f t="shared" si="10"/>
        <v>838000</v>
      </c>
      <c r="F244" s="38"/>
      <c r="G244" s="15">
        <v>42172</v>
      </c>
      <c r="H244" s="32"/>
      <c r="I244" s="32"/>
    </row>
    <row r="245" spans="2:9" x14ac:dyDescent="0.3">
      <c r="B245" s="15">
        <v>42172</v>
      </c>
      <c r="C245" s="2">
        <v>36</v>
      </c>
      <c r="D245" s="2">
        <v>30</v>
      </c>
      <c r="E245" s="12">
        <f t="shared" si="10"/>
        <v>108000</v>
      </c>
      <c r="F245" s="38"/>
      <c r="G245" s="15">
        <v>42172</v>
      </c>
      <c r="H245" s="32"/>
      <c r="I245" s="32"/>
    </row>
    <row r="246" spans="2:9" x14ac:dyDescent="0.3">
      <c r="B246" s="15">
        <v>42172</v>
      </c>
      <c r="C246" s="2">
        <v>236</v>
      </c>
      <c r="D246" s="2">
        <v>32</v>
      </c>
      <c r="E246" s="12">
        <f t="shared" si="10"/>
        <v>755000</v>
      </c>
      <c r="F246" s="38"/>
      <c r="G246" s="15">
        <v>42172</v>
      </c>
      <c r="H246" s="32"/>
      <c r="I246" s="32"/>
    </row>
    <row r="247" spans="2:9" x14ac:dyDescent="0.3">
      <c r="B247" s="15">
        <v>42172</v>
      </c>
      <c r="C247" s="2">
        <v>37</v>
      </c>
      <c r="D247" s="2">
        <v>35</v>
      </c>
      <c r="E247" s="12">
        <f t="shared" si="10"/>
        <v>129000</v>
      </c>
      <c r="F247" s="38"/>
      <c r="G247" s="15">
        <v>42172</v>
      </c>
      <c r="H247" s="32"/>
      <c r="I247" s="32"/>
    </row>
    <row r="248" spans="2:9" x14ac:dyDescent="0.3">
      <c r="B248" s="15">
        <v>42172</v>
      </c>
      <c r="C248" s="2">
        <v>50</v>
      </c>
      <c r="D248" s="2">
        <v>33</v>
      </c>
      <c r="E248" s="12">
        <f t="shared" si="10"/>
        <v>165000</v>
      </c>
      <c r="F248" s="38"/>
      <c r="G248" s="15">
        <v>42172</v>
      </c>
      <c r="H248" s="32"/>
      <c r="I248" s="32"/>
    </row>
    <row r="249" spans="2:9" x14ac:dyDescent="0.3">
      <c r="B249" s="15">
        <v>42172</v>
      </c>
      <c r="C249" s="2">
        <f>SUM(C237:C248)</f>
        <v>1099</v>
      </c>
      <c r="E249" s="2">
        <f>SUM(E237:F248)</f>
        <v>3509000</v>
      </c>
      <c r="F249" s="38"/>
      <c r="G249" s="15">
        <v>42172</v>
      </c>
      <c r="H249" s="32"/>
      <c r="I249" s="32"/>
    </row>
    <row r="250" spans="2:9" x14ac:dyDescent="0.3">
      <c r="F250" s="38"/>
      <c r="G250" s="32"/>
      <c r="H250" s="32"/>
      <c r="I250" s="32"/>
    </row>
    <row r="251" spans="2:9" x14ac:dyDescent="0.3">
      <c r="B251" s="15">
        <v>42173</v>
      </c>
      <c r="C251" s="2">
        <v>205</v>
      </c>
      <c r="D251" s="2">
        <v>39</v>
      </c>
      <c r="E251" s="12">
        <f t="shared" ref="E251:E284" si="11">FLOOR(C251*D251/10*1000,1000)</f>
        <v>799000</v>
      </c>
      <c r="F251" s="38">
        <v>1000</v>
      </c>
      <c r="G251" s="15">
        <v>42173</v>
      </c>
      <c r="H251" s="32"/>
      <c r="I251" s="32"/>
    </row>
    <row r="252" spans="2:9" x14ac:dyDescent="0.3">
      <c r="B252" s="15">
        <v>42173</v>
      </c>
      <c r="C252" s="2">
        <v>31</v>
      </c>
      <c r="D252" s="2">
        <v>38</v>
      </c>
      <c r="E252" s="2">
        <f t="shared" si="11"/>
        <v>117000</v>
      </c>
      <c r="F252" s="38"/>
      <c r="G252" s="15">
        <v>42173</v>
      </c>
      <c r="H252" s="32"/>
      <c r="I252" s="32"/>
    </row>
    <row r="253" spans="2:9" x14ac:dyDescent="0.3">
      <c r="B253" s="15">
        <v>42173</v>
      </c>
      <c r="C253" s="2">
        <v>261</v>
      </c>
      <c r="D253" s="2">
        <v>38</v>
      </c>
      <c r="E253" s="2">
        <f t="shared" si="11"/>
        <v>991000</v>
      </c>
      <c r="F253" s="38"/>
      <c r="G253" s="15">
        <v>42173</v>
      </c>
      <c r="H253" s="32"/>
      <c r="I253" s="32"/>
    </row>
    <row r="254" spans="2:9" x14ac:dyDescent="0.3">
      <c r="B254" s="15">
        <v>42173</v>
      </c>
      <c r="C254" s="2">
        <v>39</v>
      </c>
      <c r="D254" s="2">
        <v>37</v>
      </c>
      <c r="E254" s="2">
        <f t="shared" si="11"/>
        <v>144000</v>
      </c>
      <c r="F254" s="38"/>
      <c r="G254" s="15">
        <v>42173</v>
      </c>
      <c r="H254" s="32"/>
      <c r="I254" s="32"/>
    </row>
    <row r="255" spans="2:9" x14ac:dyDescent="0.3">
      <c r="B255" s="15">
        <v>42173</v>
      </c>
      <c r="C255" s="2">
        <v>68</v>
      </c>
      <c r="D255" s="2">
        <v>38</v>
      </c>
      <c r="E255" s="2">
        <f t="shared" si="11"/>
        <v>258000</v>
      </c>
      <c r="F255" s="38"/>
      <c r="G255" s="15">
        <v>42173</v>
      </c>
      <c r="H255" s="32"/>
      <c r="I255" s="32"/>
    </row>
    <row r="256" spans="2:9" x14ac:dyDescent="0.3">
      <c r="B256" s="15">
        <v>42173</v>
      </c>
      <c r="C256" s="2">
        <v>54</v>
      </c>
      <c r="D256" s="2">
        <v>38</v>
      </c>
      <c r="E256" s="2">
        <f t="shared" si="11"/>
        <v>205000</v>
      </c>
      <c r="F256" s="38"/>
      <c r="G256" s="15">
        <v>42173</v>
      </c>
      <c r="H256" s="32"/>
      <c r="I256" s="32"/>
    </row>
    <row r="257" spans="2:9" x14ac:dyDescent="0.3">
      <c r="B257" s="15">
        <v>42173</v>
      </c>
      <c r="C257" s="2">
        <v>58</v>
      </c>
      <c r="D257" s="2">
        <v>30</v>
      </c>
      <c r="E257" s="2">
        <f t="shared" si="11"/>
        <v>174000</v>
      </c>
      <c r="F257" s="38"/>
      <c r="G257" s="15">
        <v>42173</v>
      </c>
      <c r="H257" s="32"/>
      <c r="I257" s="32"/>
    </row>
    <row r="258" spans="2:9" x14ac:dyDescent="0.3">
      <c r="B258" s="15">
        <v>42173</v>
      </c>
      <c r="C258" s="2">
        <v>103</v>
      </c>
      <c r="D258" s="2">
        <v>36</v>
      </c>
      <c r="E258" s="2">
        <f t="shared" si="11"/>
        <v>370000</v>
      </c>
      <c r="F258" s="38"/>
      <c r="G258" s="15">
        <v>42173</v>
      </c>
      <c r="H258" s="32"/>
      <c r="I258" s="32"/>
    </row>
    <row r="259" spans="2:9" x14ac:dyDescent="0.3">
      <c r="B259" s="15">
        <v>42173</v>
      </c>
      <c r="C259" s="2">
        <v>97</v>
      </c>
      <c r="D259" s="2">
        <v>31</v>
      </c>
      <c r="E259" s="2">
        <f t="shared" si="11"/>
        <v>300000</v>
      </c>
      <c r="F259" s="38"/>
      <c r="G259" s="15">
        <v>42173</v>
      </c>
      <c r="H259" s="32"/>
      <c r="I259" s="32"/>
    </row>
    <row r="260" spans="2:9" x14ac:dyDescent="0.3">
      <c r="B260" s="15">
        <v>42173</v>
      </c>
      <c r="C260" s="2">
        <v>33</v>
      </c>
      <c r="D260" s="2">
        <v>38</v>
      </c>
      <c r="E260" s="2">
        <f t="shared" si="11"/>
        <v>125000</v>
      </c>
      <c r="F260" s="38"/>
      <c r="G260" s="15">
        <v>42173</v>
      </c>
      <c r="H260" s="32"/>
      <c r="I260" s="32"/>
    </row>
    <row r="261" spans="2:9" x14ac:dyDescent="0.3">
      <c r="B261" s="15">
        <v>42173</v>
      </c>
      <c r="C261" s="2">
        <v>27</v>
      </c>
      <c r="D261" s="2">
        <v>38</v>
      </c>
      <c r="E261" s="2">
        <f t="shared" si="11"/>
        <v>102000</v>
      </c>
      <c r="F261" s="38"/>
      <c r="G261" s="15">
        <v>42173</v>
      </c>
      <c r="H261" s="32"/>
      <c r="I261" s="32"/>
    </row>
    <row r="262" spans="2:9" x14ac:dyDescent="0.3">
      <c r="B262" s="15">
        <v>42173</v>
      </c>
      <c r="C262" s="2">
        <v>33</v>
      </c>
      <c r="D262" s="2">
        <v>38</v>
      </c>
      <c r="E262" s="2">
        <f t="shared" si="11"/>
        <v>125000</v>
      </c>
      <c r="F262" s="38"/>
      <c r="G262" s="15">
        <v>42173</v>
      </c>
      <c r="H262" s="32"/>
      <c r="I262" s="32"/>
    </row>
    <row r="263" spans="2:9" x14ac:dyDescent="0.3">
      <c r="B263" s="15">
        <v>42173</v>
      </c>
      <c r="C263" s="2">
        <v>17</v>
      </c>
      <c r="D263" s="2">
        <v>38</v>
      </c>
      <c r="E263" s="2">
        <f t="shared" si="11"/>
        <v>64000</v>
      </c>
      <c r="F263" s="38"/>
      <c r="G263" s="15">
        <v>42173</v>
      </c>
      <c r="H263" s="32"/>
      <c r="I263" s="32"/>
    </row>
    <row r="264" spans="2:9" x14ac:dyDescent="0.3">
      <c r="B264" s="15">
        <v>42173</v>
      </c>
      <c r="C264" s="2">
        <v>31</v>
      </c>
      <c r="D264" s="2">
        <v>31</v>
      </c>
      <c r="E264" s="2">
        <f t="shared" si="11"/>
        <v>96000</v>
      </c>
      <c r="F264" s="38"/>
      <c r="G264" s="15">
        <v>42173</v>
      </c>
      <c r="H264" s="32"/>
      <c r="I264" s="32"/>
    </row>
    <row r="265" spans="2:9" x14ac:dyDescent="0.3">
      <c r="B265" s="15">
        <v>42173</v>
      </c>
      <c r="C265" s="2">
        <v>85</v>
      </c>
      <c r="D265" s="2">
        <v>35</v>
      </c>
      <c r="E265" s="2">
        <f t="shared" si="11"/>
        <v>297000</v>
      </c>
      <c r="F265" s="38"/>
      <c r="G265" s="15">
        <v>42173</v>
      </c>
      <c r="H265" s="32"/>
      <c r="I265" s="32"/>
    </row>
    <row r="266" spans="2:9" x14ac:dyDescent="0.3">
      <c r="B266" s="15">
        <v>42173</v>
      </c>
      <c r="C266" s="2">
        <v>56</v>
      </c>
      <c r="D266" s="2">
        <v>38</v>
      </c>
      <c r="E266" s="2">
        <f t="shared" si="11"/>
        <v>212000</v>
      </c>
      <c r="F266" s="38"/>
      <c r="G266" s="15">
        <v>42173</v>
      </c>
      <c r="H266" s="32"/>
      <c r="I266" s="32"/>
    </row>
    <row r="267" spans="2:9" x14ac:dyDescent="0.3">
      <c r="B267" s="15">
        <v>42173</v>
      </c>
      <c r="C267" s="2">
        <v>49</v>
      </c>
      <c r="D267" s="2">
        <v>31</v>
      </c>
      <c r="E267" s="2">
        <f t="shared" si="11"/>
        <v>151000</v>
      </c>
      <c r="F267" s="38">
        <v>1000</v>
      </c>
      <c r="G267" s="15">
        <v>42173</v>
      </c>
      <c r="H267" s="32"/>
      <c r="I267" s="32"/>
    </row>
    <row r="268" spans="2:9" x14ac:dyDescent="0.3">
      <c r="B268" s="15">
        <v>42173</v>
      </c>
      <c r="C268" s="2">
        <v>59</v>
      </c>
      <c r="D268" s="2">
        <v>38</v>
      </c>
      <c r="E268" s="2">
        <f t="shared" si="11"/>
        <v>224000</v>
      </c>
      <c r="F268" s="38"/>
      <c r="G268" s="15">
        <v>42173</v>
      </c>
      <c r="H268" s="32"/>
      <c r="I268" s="32"/>
    </row>
    <row r="269" spans="2:9" x14ac:dyDescent="0.3">
      <c r="B269" s="15">
        <v>42173</v>
      </c>
      <c r="C269" s="2">
        <v>38</v>
      </c>
      <c r="D269" s="2">
        <v>38</v>
      </c>
      <c r="E269" s="2">
        <f t="shared" si="11"/>
        <v>144000</v>
      </c>
      <c r="F269" s="38"/>
      <c r="G269" s="15">
        <v>42173</v>
      </c>
      <c r="H269" s="32"/>
      <c r="I269" s="32"/>
    </row>
    <row r="270" spans="2:9" x14ac:dyDescent="0.3">
      <c r="B270" s="15">
        <v>42173</v>
      </c>
      <c r="C270" s="2">
        <v>48</v>
      </c>
      <c r="D270" s="2">
        <v>38</v>
      </c>
      <c r="E270" s="2">
        <f t="shared" si="11"/>
        <v>182000</v>
      </c>
      <c r="F270" s="38"/>
      <c r="G270" s="15">
        <v>42173</v>
      </c>
      <c r="H270" s="32"/>
      <c r="I270" s="32"/>
    </row>
    <row r="271" spans="2:9" x14ac:dyDescent="0.3">
      <c r="B271" s="15">
        <v>42173</v>
      </c>
      <c r="C271" s="2">
        <v>22</v>
      </c>
      <c r="D271" s="2">
        <v>38</v>
      </c>
      <c r="E271" s="2">
        <f t="shared" si="11"/>
        <v>83000</v>
      </c>
      <c r="F271" s="38"/>
      <c r="G271" s="15">
        <v>42173</v>
      </c>
      <c r="H271" s="32"/>
      <c r="I271" s="32"/>
    </row>
    <row r="272" spans="2:9" x14ac:dyDescent="0.3">
      <c r="B272" s="15">
        <v>42173</v>
      </c>
      <c r="C272" s="2">
        <v>27</v>
      </c>
      <c r="D272" s="2">
        <v>38</v>
      </c>
      <c r="E272" s="2">
        <f t="shared" si="11"/>
        <v>102000</v>
      </c>
      <c r="F272" s="38"/>
      <c r="G272" s="15">
        <v>42173</v>
      </c>
      <c r="H272" s="32"/>
      <c r="I272" s="32"/>
    </row>
    <row r="273" spans="2:9" x14ac:dyDescent="0.3">
      <c r="B273" s="15">
        <v>42173</v>
      </c>
      <c r="C273" s="2">
        <v>263</v>
      </c>
      <c r="D273" s="2">
        <v>32</v>
      </c>
      <c r="E273" s="2">
        <f t="shared" si="11"/>
        <v>841000</v>
      </c>
      <c r="F273" s="38"/>
      <c r="G273" s="15">
        <v>42173</v>
      </c>
      <c r="H273" s="32"/>
      <c r="I273" s="32"/>
    </row>
    <row r="274" spans="2:9" x14ac:dyDescent="0.3">
      <c r="B274" s="15">
        <v>42173</v>
      </c>
      <c r="C274" s="2">
        <v>47</v>
      </c>
      <c r="D274" s="2">
        <v>37</v>
      </c>
      <c r="E274" s="2">
        <f t="shared" si="11"/>
        <v>173000</v>
      </c>
      <c r="F274" s="38">
        <v>1000</v>
      </c>
      <c r="G274" s="15">
        <v>42173</v>
      </c>
      <c r="H274" s="32"/>
      <c r="I274" s="32"/>
    </row>
    <row r="275" spans="2:9" x14ac:dyDescent="0.3">
      <c r="B275" s="15">
        <v>42173</v>
      </c>
      <c r="C275" s="2">
        <v>105</v>
      </c>
      <c r="D275" s="2">
        <v>36</v>
      </c>
      <c r="E275" s="2">
        <f t="shared" si="11"/>
        <v>378000</v>
      </c>
      <c r="F275" s="38"/>
      <c r="G275" s="15">
        <v>42173</v>
      </c>
      <c r="H275" s="32"/>
      <c r="I275" s="32"/>
    </row>
    <row r="276" spans="2:9" x14ac:dyDescent="0.3">
      <c r="B276" s="15">
        <v>42173</v>
      </c>
      <c r="C276" s="2">
        <v>140</v>
      </c>
      <c r="D276" s="2">
        <v>38</v>
      </c>
      <c r="E276" s="2">
        <f t="shared" si="11"/>
        <v>532000</v>
      </c>
      <c r="F276" s="38"/>
      <c r="G276" s="15">
        <v>42173</v>
      </c>
      <c r="H276" s="32"/>
      <c r="I276" s="32"/>
    </row>
    <row r="277" spans="2:9" x14ac:dyDescent="0.3">
      <c r="B277" s="15">
        <v>42173</v>
      </c>
      <c r="C277" s="2">
        <v>35</v>
      </c>
      <c r="D277" s="2">
        <v>34</v>
      </c>
      <c r="E277" s="2">
        <f t="shared" si="11"/>
        <v>119000</v>
      </c>
      <c r="F277" s="38"/>
      <c r="G277" s="15">
        <v>42173</v>
      </c>
      <c r="H277" s="32"/>
      <c r="I277" s="32"/>
    </row>
    <row r="278" spans="2:9" x14ac:dyDescent="0.3">
      <c r="B278" s="15">
        <v>42173</v>
      </c>
      <c r="C278" s="2">
        <v>78</v>
      </c>
      <c r="D278" s="2">
        <v>37</v>
      </c>
      <c r="E278" s="2">
        <f t="shared" si="11"/>
        <v>288000</v>
      </c>
      <c r="F278" s="38"/>
      <c r="G278" s="15">
        <v>42173</v>
      </c>
      <c r="H278" s="32"/>
      <c r="I278" s="32"/>
    </row>
    <row r="279" spans="2:9" x14ac:dyDescent="0.3">
      <c r="B279" s="15">
        <v>42173</v>
      </c>
      <c r="C279" s="2">
        <v>43</v>
      </c>
      <c r="D279" s="2">
        <v>38</v>
      </c>
      <c r="E279" s="2">
        <f t="shared" si="11"/>
        <v>163000</v>
      </c>
      <c r="F279" s="38">
        <v>1000</v>
      </c>
      <c r="G279" s="15">
        <v>42173</v>
      </c>
      <c r="H279" s="32"/>
      <c r="I279" s="32"/>
    </row>
    <row r="280" spans="2:9" x14ac:dyDescent="0.3">
      <c r="B280" s="15">
        <v>42173</v>
      </c>
      <c r="C280" s="2">
        <v>272</v>
      </c>
      <c r="D280" s="2">
        <v>38</v>
      </c>
      <c r="E280" s="2">
        <f t="shared" si="11"/>
        <v>1033000</v>
      </c>
      <c r="F280" s="38"/>
      <c r="G280" s="15">
        <v>42173</v>
      </c>
      <c r="H280" s="32"/>
      <c r="I280" s="32"/>
    </row>
    <row r="281" spans="2:9" x14ac:dyDescent="0.3">
      <c r="B281" s="15">
        <v>42173</v>
      </c>
      <c r="C281" s="2">
        <v>23</v>
      </c>
      <c r="D281" s="2">
        <v>31</v>
      </c>
      <c r="E281" s="2">
        <f t="shared" si="11"/>
        <v>71000</v>
      </c>
      <c r="F281" s="38"/>
      <c r="G281" s="15">
        <v>42173</v>
      </c>
      <c r="H281" s="32"/>
      <c r="I281" s="32"/>
    </row>
    <row r="282" spans="2:9" x14ac:dyDescent="0.3">
      <c r="B282" s="15">
        <v>42173</v>
      </c>
      <c r="C282" s="2">
        <v>75</v>
      </c>
      <c r="D282" s="2">
        <v>36</v>
      </c>
      <c r="E282" s="2">
        <f t="shared" si="11"/>
        <v>270000</v>
      </c>
      <c r="F282" s="38"/>
      <c r="G282" s="15">
        <v>42173</v>
      </c>
      <c r="H282" s="32"/>
      <c r="I282" s="32"/>
    </row>
    <row r="283" spans="2:9" x14ac:dyDescent="0.3">
      <c r="B283" s="15">
        <v>42173</v>
      </c>
      <c r="C283" s="2">
        <v>93</v>
      </c>
      <c r="D283" s="2">
        <v>37</v>
      </c>
      <c r="E283" s="2">
        <f t="shared" si="11"/>
        <v>344000</v>
      </c>
      <c r="F283" s="38"/>
      <c r="G283" s="15">
        <v>42173</v>
      </c>
      <c r="H283" s="32"/>
      <c r="I283" s="32"/>
    </row>
    <row r="284" spans="2:9" x14ac:dyDescent="0.3">
      <c r="B284" s="15">
        <v>42173</v>
      </c>
      <c r="C284" s="2">
        <v>76</v>
      </c>
      <c r="D284" s="2">
        <v>38</v>
      </c>
      <c r="E284" s="2">
        <f t="shared" si="11"/>
        <v>288000</v>
      </c>
      <c r="F284" s="38"/>
      <c r="G284" s="15">
        <v>42173</v>
      </c>
      <c r="H284" s="32"/>
      <c r="I284" s="32"/>
    </row>
    <row r="285" spans="2:9" x14ac:dyDescent="0.3">
      <c r="B285" s="15">
        <v>42173</v>
      </c>
      <c r="C285" s="2">
        <f>SUM(C251:C284)</f>
        <v>2691</v>
      </c>
      <c r="E285" s="2">
        <f>SUM(E251:F284)</f>
        <v>9769000</v>
      </c>
      <c r="F285" s="38"/>
      <c r="G285" s="15"/>
      <c r="H285" s="32"/>
      <c r="I285" s="32"/>
    </row>
    <row r="286" spans="2:9" x14ac:dyDescent="0.3">
      <c r="F286" s="38"/>
      <c r="G286" s="32"/>
      <c r="H286" s="32"/>
      <c r="I286" s="32"/>
    </row>
    <row r="287" spans="2:9" x14ac:dyDescent="0.3">
      <c r="B287" s="15">
        <v>42174</v>
      </c>
      <c r="C287" s="2">
        <v>42</v>
      </c>
      <c r="D287" s="2">
        <v>39</v>
      </c>
      <c r="E287" s="2">
        <f t="shared" ref="E287:E329" si="12">FLOOR(C287*D287/10*1000,1000)</f>
        <v>163000</v>
      </c>
      <c r="F287" s="38">
        <v>-1000</v>
      </c>
      <c r="G287" s="15">
        <v>42174</v>
      </c>
      <c r="H287" s="32"/>
      <c r="I287" s="32"/>
    </row>
    <row r="288" spans="2:9" x14ac:dyDescent="0.3">
      <c r="B288" s="15">
        <v>42174</v>
      </c>
      <c r="C288" s="2">
        <v>72</v>
      </c>
      <c r="D288" s="2">
        <v>34</v>
      </c>
      <c r="E288" s="2">
        <f t="shared" si="12"/>
        <v>244000</v>
      </c>
      <c r="F288" s="38"/>
      <c r="G288" s="15">
        <v>42174</v>
      </c>
      <c r="H288" s="32"/>
      <c r="I288" s="32"/>
    </row>
    <row r="289" spans="2:9" x14ac:dyDescent="0.3">
      <c r="B289" s="15">
        <v>42174</v>
      </c>
      <c r="C289" s="2">
        <v>45</v>
      </c>
      <c r="D289" s="2">
        <v>33</v>
      </c>
      <c r="E289" s="2">
        <f t="shared" si="12"/>
        <v>148000</v>
      </c>
      <c r="F289" s="38"/>
      <c r="G289" s="15">
        <v>42174</v>
      </c>
      <c r="H289" s="32"/>
      <c r="I289" s="32"/>
    </row>
    <row r="290" spans="2:9" x14ac:dyDescent="0.3">
      <c r="B290" s="15">
        <v>42174</v>
      </c>
      <c r="C290" s="2">
        <v>300</v>
      </c>
      <c r="D290" s="2">
        <v>38</v>
      </c>
      <c r="E290" s="2">
        <f t="shared" si="12"/>
        <v>1140000</v>
      </c>
      <c r="F290" s="38"/>
      <c r="G290" s="15">
        <v>42174</v>
      </c>
      <c r="H290" s="32"/>
      <c r="I290" s="32"/>
    </row>
    <row r="291" spans="2:9" x14ac:dyDescent="0.3">
      <c r="B291" s="15">
        <v>42174</v>
      </c>
      <c r="C291" s="2">
        <v>23</v>
      </c>
      <c r="D291" s="2">
        <v>30</v>
      </c>
      <c r="E291" s="2">
        <f t="shared" si="12"/>
        <v>69000</v>
      </c>
      <c r="F291" s="38">
        <v>1000</v>
      </c>
      <c r="G291" s="15">
        <v>42174</v>
      </c>
      <c r="H291" s="32"/>
      <c r="I291" s="32"/>
    </row>
    <row r="292" spans="2:9" x14ac:dyDescent="0.3">
      <c r="B292" s="15">
        <v>42174</v>
      </c>
      <c r="C292" s="2">
        <v>73</v>
      </c>
      <c r="D292" s="2">
        <v>33</v>
      </c>
      <c r="E292" s="2">
        <f t="shared" si="12"/>
        <v>240000</v>
      </c>
      <c r="F292" s="38"/>
      <c r="G292" s="15">
        <v>42174</v>
      </c>
      <c r="H292" s="32"/>
      <c r="I292" s="32"/>
    </row>
    <row r="293" spans="2:9" x14ac:dyDescent="0.3">
      <c r="B293" s="15">
        <v>42174</v>
      </c>
      <c r="C293" s="2">
        <v>31</v>
      </c>
      <c r="D293" s="2">
        <v>36</v>
      </c>
      <c r="E293" s="2">
        <f t="shared" si="12"/>
        <v>111000</v>
      </c>
      <c r="F293" s="38"/>
      <c r="G293" s="15">
        <v>42174</v>
      </c>
      <c r="H293" s="32"/>
      <c r="I293" s="32"/>
    </row>
    <row r="294" spans="2:9" x14ac:dyDescent="0.3">
      <c r="B294" s="15">
        <v>42174</v>
      </c>
      <c r="C294" s="2">
        <v>60</v>
      </c>
      <c r="D294" s="2">
        <v>30</v>
      </c>
      <c r="E294" s="2">
        <f t="shared" si="12"/>
        <v>180000</v>
      </c>
      <c r="F294" s="38"/>
      <c r="G294" s="15">
        <v>42174</v>
      </c>
      <c r="H294" s="32"/>
      <c r="I294" s="32"/>
    </row>
    <row r="295" spans="2:9" x14ac:dyDescent="0.3">
      <c r="B295" s="15">
        <v>42174</v>
      </c>
      <c r="C295" s="2">
        <v>44</v>
      </c>
      <c r="D295" s="2">
        <v>39</v>
      </c>
      <c r="E295" s="2">
        <f t="shared" si="12"/>
        <v>171000</v>
      </c>
      <c r="F295" s="38"/>
      <c r="G295" s="15">
        <v>42174</v>
      </c>
      <c r="H295" s="32"/>
      <c r="I295" s="32"/>
    </row>
    <row r="296" spans="2:9" x14ac:dyDescent="0.3">
      <c r="B296" s="15">
        <v>42174</v>
      </c>
      <c r="C296" s="2">
        <v>66</v>
      </c>
      <c r="D296" s="2">
        <v>38</v>
      </c>
      <c r="E296" s="2">
        <f t="shared" si="12"/>
        <v>250000</v>
      </c>
      <c r="F296" s="38"/>
      <c r="G296" s="15">
        <v>42174</v>
      </c>
      <c r="H296" s="32"/>
      <c r="I296" s="32"/>
    </row>
    <row r="297" spans="2:9" x14ac:dyDescent="0.3">
      <c r="B297" s="15">
        <v>42174</v>
      </c>
      <c r="C297" s="2">
        <v>45</v>
      </c>
      <c r="D297" s="2">
        <v>32</v>
      </c>
      <c r="E297" s="2">
        <f t="shared" si="12"/>
        <v>144000</v>
      </c>
      <c r="F297" s="38"/>
      <c r="G297" s="15">
        <v>42174</v>
      </c>
      <c r="H297" s="32"/>
      <c r="I297" s="32"/>
    </row>
    <row r="298" spans="2:9" x14ac:dyDescent="0.3">
      <c r="B298" s="15">
        <v>42174</v>
      </c>
      <c r="C298" s="2">
        <v>18</v>
      </c>
      <c r="D298" s="2">
        <v>35</v>
      </c>
      <c r="E298" s="2">
        <f t="shared" si="12"/>
        <v>63000</v>
      </c>
      <c r="F298" s="38"/>
      <c r="G298" s="15">
        <v>42174</v>
      </c>
      <c r="H298" s="32"/>
      <c r="I298" s="32"/>
    </row>
    <row r="299" spans="2:9" x14ac:dyDescent="0.3">
      <c r="B299" s="15">
        <v>42174</v>
      </c>
      <c r="C299" s="2">
        <v>49</v>
      </c>
      <c r="D299" s="2">
        <v>36</v>
      </c>
      <c r="E299" s="2">
        <f t="shared" si="12"/>
        <v>176000</v>
      </c>
      <c r="F299" s="38"/>
      <c r="G299" s="15">
        <v>42174</v>
      </c>
      <c r="H299" s="32"/>
      <c r="I299" s="32"/>
    </row>
    <row r="300" spans="2:9" x14ac:dyDescent="0.3">
      <c r="B300" s="15">
        <v>42174</v>
      </c>
      <c r="C300" s="2">
        <v>137</v>
      </c>
      <c r="D300" s="2">
        <v>36</v>
      </c>
      <c r="E300" s="2">
        <f t="shared" si="12"/>
        <v>493000</v>
      </c>
      <c r="F300" s="38"/>
      <c r="G300" s="15">
        <v>42174</v>
      </c>
      <c r="H300" s="32"/>
      <c r="I300" s="32"/>
    </row>
    <row r="301" spans="2:9" x14ac:dyDescent="0.3">
      <c r="B301" s="15">
        <v>42174</v>
      </c>
      <c r="C301" s="2">
        <v>50</v>
      </c>
      <c r="D301" s="2">
        <v>39</v>
      </c>
      <c r="E301" s="2">
        <f t="shared" si="12"/>
        <v>195000</v>
      </c>
      <c r="F301" s="38"/>
      <c r="G301" s="15">
        <v>42174</v>
      </c>
      <c r="H301" s="32"/>
      <c r="I301" s="32"/>
    </row>
    <row r="302" spans="2:9" x14ac:dyDescent="0.3">
      <c r="B302" s="15">
        <v>42174</v>
      </c>
      <c r="C302" s="2">
        <v>21</v>
      </c>
      <c r="D302" s="2">
        <v>34</v>
      </c>
      <c r="E302" s="2">
        <f t="shared" si="12"/>
        <v>71000</v>
      </c>
      <c r="F302" s="38"/>
      <c r="G302" s="15">
        <v>42174</v>
      </c>
      <c r="H302" s="32"/>
      <c r="I302" s="32"/>
    </row>
    <row r="303" spans="2:9" x14ac:dyDescent="0.3">
      <c r="B303" s="15">
        <v>42174</v>
      </c>
      <c r="C303" s="2">
        <v>80</v>
      </c>
      <c r="D303" s="2">
        <v>30</v>
      </c>
      <c r="E303" s="2">
        <f t="shared" si="12"/>
        <v>240000</v>
      </c>
      <c r="F303" s="38"/>
      <c r="G303" s="15">
        <v>42174</v>
      </c>
      <c r="H303" s="32"/>
      <c r="I303" s="32"/>
    </row>
    <row r="304" spans="2:9" x14ac:dyDescent="0.3">
      <c r="B304" s="15">
        <v>42174</v>
      </c>
      <c r="C304" s="2">
        <v>530</v>
      </c>
      <c r="D304" s="2">
        <v>42</v>
      </c>
      <c r="E304" s="2">
        <f t="shared" si="12"/>
        <v>2226000</v>
      </c>
      <c r="F304" s="38"/>
      <c r="G304" s="15">
        <v>42174</v>
      </c>
      <c r="H304" s="32"/>
      <c r="I304" s="32"/>
    </row>
    <row r="305" spans="2:9" x14ac:dyDescent="0.3">
      <c r="B305" s="15">
        <v>42174</v>
      </c>
      <c r="C305" s="2">
        <v>19</v>
      </c>
      <c r="D305" s="2">
        <v>32</v>
      </c>
      <c r="E305" s="2">
        <f t="shared" si="12"/>
        <v>60000</v>
      </c>
      <c r="F305" s="38"/>
      <c r="G305" s="15">
        <v>42174</v>
      </c>
      <c r="H305" s="32"/>
      <c r="I305" s="32"/>
    </row>
    <row r="306" spans="2:9" x14ac:dyDescent="0.3">
      <c r="B306" s="15">
        <v>42174</v>
      </c>
      <c r="C306" s="2">
        <v>29</v>
      </c>
      <c r="D306" s="2">
        <v>35</v>
      </c>
      <c r="E306" s="2">
        <f t="shared" si="12"/>
        <v>101000</v>
      </c>
      <c r="F306" s="38"/>
      <c r="G306" s="15">
        <v>42174</v>
      </c>
      <c r="H306" s="32"/>
      <c r="I306" s="32"/>
    </row>
    <row r="307" spans="2:9" x14ac:dyDescent="0.3">
      <c r="B307" s="15">
        <v>42174</v>
      </c>
      <c r="C307" s="2">
        <v>56</v>
      </c>
      <c r="D307" s="2">
        <v>37</v>
      </c>
      <c r="E307" s="2">
        <f t="shared" si="12"/>
        <v>207000</v>
      </c>
      <c r="F307" s="38"/>
      <c r="G307" s="15">
        <v>42174</v>
      </c>
      <c r="H307" s="32"/>
      <c r="I307" s="32"/>
    </row>
    <row r="308" spans="2:9" x14ac:dyDescent="0.3">
      <c r="B308" s="15">
        <v>42174</v>
      </c>
      <c r="C308" s="2">
        <v>51</v>
      </c>
      <c r="D308" s="2">
        <v>38</v>
      </c>
      <c r="E308" s="2">
        <f t="shared" si="12"/>
        <v>193000</v>
      </c>
      <c r="F308" s="38"/>
      <c r="G308" s="15">
        <v>42174</v>
      </c>
      <c r="H308" s="32"/>
      <c r="I308" s="32"/>
    </row>
    <row r="309" spans="2:9" x14ac:dyDescent="0.3">
      <c r="B309" s="15">
        <v>42174</v>
      </c>
      <c r="C309" s="2">
        <v>23</v>
      </c>
      <c r="D309" s="2">
        <v>36</v>
      </c>
      <c r="E309" s="2">
        <f t="shared" si="12"/>
        <v>82000</v>
      </c>
      <c r="F309" s="38"/>
      <c r="G309" s="15">
        <v>42174</v>
      </c>
      <c r="H309" s="32"/>
      <c r="I309" s="32"/>
    </row>
    <row r="310" spans="2:9" x14ac:dyDescent="0.3">
      <c r="B310" s="15">
        <v>42174</v>
      </c>
      <c r="C310" s="2">
        <v>48</v>
      </c>
      <c r="D310" s="2">
        <v>36</v>
      </c>
      <c r="E310" s="2">
        <f t="shared" si="12"/>
        <v>172000</v>
      </c>
      <c r="F310" s="38"/>
      <c r="G310" s="15">
        <v>42174</v>
      </c>
      <c r="H310" s="32"/>
      <c r="I310" s="32"/>
    </row>
    <row r="311" spans="2:9" x14ac:dyDescent="0.3">
      <c r="B311" s="15">
        <v>42174</v>
      </c>
      <c r="C311" s="2">
        <v>30</v>
      </c>
      <c r="D311" s="2">
        <v>34</v>
      </c>
      <c r="E311" s="2">
        <f t="shared" si="12"/>
        <v>102000</v>
      </c>
      <c r="F311" s="38"/>
      <c r="G311" s="15">
        <v>42174</v>
      </c>
      <c r="H311" s="32"/>
      <c r="I311" s="32"/>
    </row>
    <row r="312" spans="2:9" x14ac:dyDescent="0.3">
      <c r="B312" s="15">
        <v>42174</v>
      </c>
      <c r="C312" s="2">
        <v>33</v>
      </c>
      <c r="D312" s="2">
        <v>33</v>
      </c>
      <c r="E312" s="2">
        <f t="shared" si="12"/>
        <v>108000</v>
      </c>
      <c r="F312" s="38">
        <v>1000</v>
      </c>
      <c r="G312" s="15">
        <v>42174</v>
      </c>
      <c r="H312" s="32"/>
      <c r="I312" s="32"/>
    </row>
    <row r="313" spans="2:9" x14ac:dyDescent="0.3">
      <c r="B313" s="15">
        <v>42174</v>
      </c>
      <c r="C313" s="2">
        <v>27</v>
      </c>
      <c r="D313" s="2">
        <v>36</v>
      </c>
      <c r="E313" s="2">
        <f t="shared" si="12"/>
        <v>97000</v>
      </c>
      <c r="F313" s="38"/>
      <c r="G313" s="15">
        <v>42174</v>
      </c>
      <c r="H313" s="32"/>
      <c r="I313" s="32"/>
    </row>
    <row r="314" spans="2:9" x14ac:dyDescent="0.3">
      <c r="B314" s="15">
        <v>42174</v>
      </c>
      <c r="C314" s="2">
        <v>34</v>
      </c>
      <c r="D314" s="2">
        <v>35</v>
      </c>
      <c r="E314" s="2">
        <f t="shared" si="12"/>
        <v>119000</v>
      </c>
      <c r="F314" s="38"/>
      <c r="G314" s="15">
        <v>42174</v>
      </c>
      <c r="H314" s="32"/>
      <c r="I314" s="32"/>
    </row>
    <row r="315" spans="2:9" x14ac:dyDescent="0.3">
      <c r="B315" s="15">
        <v>42174</v>
      </c>
      <c r="C315" s="2">
        <v>13</v>
      </c>
      <c r="D315" s="2">
        <v>36</v>
      </c>
      <c r="E315" s="2">
        <f t="shared" si="12"/>
        <v>46000</v>
      </c>
      <c r="F315" s="38"/>
      <c r="G315" s="15">
        <v>42174</v>
      </c>
      <c r="H315" s="32"/>
      <c r="I315" s="32"/>
    </row>
    <row r="316" spans="2:9" x14ac:dyDescent="0.3">
      <c r="B316" s="15">
        <v>42174</v>
      </c>
      <c r="C316" s="2">
        <v>43</v>
      </c>
      <c r="D316" s="2">
        <v>34</v>
      </c>
      <c r="E316" s="2">
        <f t="shared" si="12"/>
        <v>146000</v>
      </c>
      <c r="F316" s="38"/>
      <c r="G316" s="15">
        <v>42174</v>
      </c>
      <c r="H316" s="32"/>
      <c r="I316" s="32"/>
    </row>
    <row r="317" spans="2:9" x14ac:dyDescent="0.3">
      <c r="B317" s="15">
        <v>42174</v>
      </c>
      <c r="C317" s="2">
        <v>28</v>
      </c>
      <c r="D317" s="2">
        <v>38</v>
      </c>
      <c r="E317" s="2">
        <f t="shared" si="12"/>
        <v>106000</v>
      </c>
      <c r="F317" s="38"/>
      <c r="G317" s="15">
        <v>42174</v>
      </c>
      <c r="H317" s="32"/>
      <c r="I317" s="32"/>
    </row>
    <row r="318" spans="2:9" x14ac:dyDescent="0.3">
      <c r="B318" s="15">
        <v>42174</v>
      </c>
      <c r="C318" s="2">
        <v>40</v>
      </c>
      <c r="D318" s="2">
        <v>39</v>
      </c>
      <c r="E318" s="2">
        <f t="shared" si="12"/>
        <v>156000</v>
      </c>
      <c r="F318" s="38"/>
      <c r="G318" s="15">
        <v>42174</v>
      </c>
      <c r="H318" s="32"/>
      <c r="I318" s="32"/>
    </row>
    <row r="319" spans="2:9" x14ac:dyDescent="0.3">
      <c r="B319" s="15">
        <v>42174</v>
      </c>
      <c r="C319" s="2">
        <v>57</v>
      </c>
      <c r="D319" s="2">
        <v>34</v>
      </c>
      <c r="E319" s="2">
        <f t="shared" si="12"/>
        <v>193000</v>
      </c>
      <c r="F319" s="38"/>
      <c r="G319" s="15">
        <v>42174</v>
      </c>
      <c r="H319" s="32"/>
      <c r="I319" s="32"/>
    </row>
    <row r="320" spans="2:9" x14ac:dyDescent="0.3">
      <c r="B320" s="15">
        <v>42174</v>
      </c>
      <c r="C320" s="2">
        <v>460</v>
      </c>
      <c r="D320" s="2">
        <v>33</v>
      </c>
      <c r="E320" s="2">
        <f t="shared" si="12"/>
        <v>1518000</v>
      </c>
      <c r="F320" s="38"/>
      <c r="G320" s="15">
        <v>42174</v>
      </c>
      <c r="H320" s="32"/>
      <c r="I320" s="32"/>
    </row>
    <row r="321" spans="2:9" x14ac:dyDescent="0.3">
      <c r="B321" s="15">
        <v>42174</v>
      </c>
      <c r="C321" s="2">
        <v>58</v>
      </c>
      <c r="D321" s="2">
        <v>32</v>
      </c>
      <c r="E321" s="2">
        <f t="shared" si="12"/>
        <v>185000</v>
      </c>
      <c r="F321" s="38">
        <v>1000</v>
      </c>
      <c r="G321" s="15">
        <v>42174</v>
      </c>
      <c r="H321" s="32"/>
      <c r="I321" s="32"/>
    </row>
    <row r="322" spans="2:9" x14ac:dyDescent="0.3">
      <c r="B322" s="15">
        <v>42174</v>
      </c>
      <c r="C322" s="2">
        <v>32</v>
      </c>
      <c r="D322" s="2">
        <v>38</v>
      </c>
      <c r="E322" s="2">
        <f t="shared" si="12"/>
        <v>121000</v>
      </c>
      <c r="F322" s="38"/>
      <c r="G322" s="15">
        <v>42174</v>
      </c>
      <c r="H322" s="32"/>
      <c r="I322" s="32"/>
    </row>
    <row r="323" spans="2:9" x14ac:dyDescent="0.3">
      <c r="B323" s="15">
        <v>42174</v>
      </c>
      <c r="C323" s="2">
        <v>10</v>
      </c>
      <c r="D323" s="2">
        <v>32</v>
      </c>
      <c r="E323" s="2">
        <f t="shared" si="12"/>
        <v>32000</v>
      </c>
      <c r="F323" s="38"/>
      <c r="G323" s="15">
        <v>42174</v>
      </c>
      <c r="H323" s="32"/>
      <c r="I323" s="32"/>
    </row>
    <row r="324" spans="2:9" x14ac:dyDescent="0.3">
      <c r="B324" s="15">
        <v>42174</v>
      </c>
      <c r="C324" s="2">
        <v>15</v>
      </c>
      <c r="D324" s="2">
        <v>32</v>
      </c>
      <c r="E324" s="2">
        <f t="shared" si="12"/>
        <v>48000</v>
      </c>
      <c r="F324" s="38">
        <v>-3000</v>
      </c>
      <c r="G324" s="15">
        <v>42174</v>
      </c>
      <c r="H324" s="32"/>
      <c r="I324" s="32"/>
    </row>
    <row r="325" spans="2:9" x14ac:dyDescent="0.3">
      <c r="B325" s="15">
        <v>42174</v>
      </c>
      <c r="C325" s="2">
        <v>282</v>
      </c>
      <c r="D325" s="2">
        <v>31</v>
      </c>
      <c r="E325" s="2">
        <f t="shared" si="12"/>
        <v>874000</v>
      </c>
      <c r="F325" s="38"/>
      <c r="G325" s="15">
        <v>42174</v>
      </c>
      <c r="H325" s="32"/>
      <c r="I325" s="32"/>
    </row>
    <row r="326" spans="2:9" x14ac:dyDescent="0.3">
      <c r="B326" s="15">
        <v>42174</v>
      </c>
      <c r="C326" s="2">
        <v>610</v>
      </c>
      <c r="D326" s="2">
        <v>31</v>
      </c>
      <c r="E326" s="2">
        <f t="shared" si="12"/>
        <v>1891000</v>
      </c>
      <c r="F326" s="38"/>
      <c r="G326" s="15">
        <v>42172</v>
      </c>
      <c r="H326" s="32"/>
      <c r="I326" s="32"/>
    </row>
    <row r="327" spans="2:9" x14ac:dyDescent="0.3">
      <c r="B327" s="15">
        <v>42174</v>
      </c>
      <c r="C327" s="2">
        <v>461</v>
      </c>
      <c r="D327" s="40">
        <v>31.5</v>
      </c>
      <c r="E327" s="2">
        <f t="shared" si="12"/>
        <v>1452000</v>
      </c>
      <c r="F327" s="38"/>
      <c r="G327" s="15">
        <v>42173</v>
      </c>
      <c r="H327" s="32"/>
      <c r="I327" s="32"/>
    </row>
    <row r="328" spans="2:9" x14ac:dyDescent="0.3">
      <c r="B328" s="15">
        <v>42174</v>
      </c>
      <c r="C328" s="2">
        <v>266</v>
      </c>
      <c r="D328" s="40">
        <v>31.5</v>
      </c>
      <c r="E328" s="2">
        <f t="shared" si="12"/>
        <v>837000</v>
      </c>
      <c r="F328" s="38">
        <v>1000</v>
      </c>
      <c r="G328" s="15">
        <v>42174</v>
      </c>
      <c r="H328" s="32"/>
      <c r="I328" s="32"/>
    </row>
    <row r="329" spans="2:9" x14ac:dyDescent="0.3">
      <c r="B329" s="15">
        <v>42174</v>
      </c>
      <c r="C329" s="2">
        <v>220</v>
      </c>
      <c r="D329" s="2">
        <v>38</v>
      </c>
      <c r="E329" s="2">
        <f t="shared" si="12"/>
        <v>836000</v>
      </c>
      <c r="F329" s="38"/>
      <c r="G329" s="15">
        <v>42174</v>
      </c>
      <c r="H329" s="32"/>
      <c r="I329" s="32"/>
    </row>
    <row r="330" spans="2:9" x14ac:dyDescent="0.3">
      <c r="B330" s="15">
        <v>42174</v>
      </c>
      <c r="C330" s="2">
        <f>SUM(C287:C329)-C326-C327</f>
        <v>3560</v>
      </c>
      <c r="E330" s="2">
        <f>SUM(E287:F329)</f>
        <v>16006000</v>
      </c>
      <c r="F330" s="38"/>
      <c r="G330" s="15">
        <v>42174</v>
      </c>
      <c r="H330" s="32"/>
      <c r="I330" s="32"/>
    </row>
    <row r="331" spans="2:9" x14ac:dyDescent="0.3">
      <c r="F331" s="38"/>
      <c r="G331" s="32"/>
      <c r="H331" s="32"/>
      <c r="I331" s="32"/>
    </row>
    <row r="332" spans="2:9" x14ac:dyDescent="0.3">
      <c r="B332" s="15">
        <v>42175</v>
      </c>
      <c r="C332" s="2">
        <v>12</v>
      </c>
      <c r="D332" s="2">
        <v>32</v>
      </c>
      <c r="E332" s="2">
        <f t="shared" ref="E332:E395" si="13">FLOOR(C332*D332/10*1000,1000)</f>
        <v>38000</v>
      </c>
      <c r="F332" s="38"/>
      <c r="G332" s="15">
        <v>42175</v>
      </c>
      <c r="H332" s="32"/>
      <c r="I332" s="32"/>
    </row>
    <row r="333" spans="2:9" x14ac:dyDescent="0.3">
      <c r="B333" s="15">
        <v>42175</v>
      </c>
      <c r="C333" s="2">
        <v>36</v>
      </c>
      <c r="D333" s="2">
        <v>32</v>
      </c>
      <c r="E333" s="2">
        <f t="shared" si="13"/>
        <v>115000</v>
      </c>
      <c r="F333" s="38"/>
      <c r="G333" s="15">
        <v>42175</v>
      </c>
      <c r="H333" s="32"/>
      <c r="I333" s="32"/>
    </row>
    <row r="334" spans="2:9" x14ac:dyDescent="0.3">
      <c r="B334" s="15">
        <v>42175</v>
      </c>
      <c r="C334" s="2">
        <v>48</v>
      </c>
      <c r="D334" s="2">
        <v>39</v>
      </c>
      <c r="E334" s="2">
        <f t="shared" si="13"/>
        <v>187000</v>
      </c>
      <c r="F334" s="38"/>
      <c r="G334" s="15">
        <v>42175</v>
      </c>
      <c r="H334" s="32"/>
      <c r="I334" s="32"/>
    </row>
    <row r="335" spans="2:9" x14ac:dyDescent="0.3">
      <c r="B335" s="15">
        <v>42175</v>
      </c>
      <c r="C335" s="2">
        <v>50</v>
      </c>
      <c r="D335" s="2">
        <v>37</v>
      </c>
      <c r="E335" s="2">
        <f t="shared" si="13"/>
        <v>185000</v>
      </c>
      <c r="F335" s="38"/>
      <c r="G335" s="15">
        <v>42175</v>
      </c>
      <c r="H335" s="32"/>
      <c r="I335" s="32"/>
    </row>
    <row r="336" spans="2:9" x14ac:dyDescent="0.3">
      <c r="B336" s="15">
        <v>42175</v>
      </c>
      <c r="C336" s="2">
        <v>490</v>
      </c>
      <c r="D336" s="2">
        <v>32</v>
      </c>
      <c r="E336" s="2">
        <f t="shared" si="13"/>
        <v>1568000</v>
      </c>
      <c r="F336" s="38"/>
      <c r="G336" s="15">
        <v>42175</v>
      </c>
      <c r="H336" s="32"/>
      <c r="I336" s="32"/>
    </row>
    <row r="337" spans="2:9" x14ac:dyDescent="0.3">
      <c r="B337" s="15">
        <v>42175</v>
      </c>
      <c r="C337" s="2">
        <v>61</v>
      </c>
      <c r="D337" s="2">
        <v>31</v>
      </c>
      <c r="E337" s="2">
        <f t="shared" si="13"/>
        <v>189000</v>
      </c>
      <c r="F337" s="38"/>
      <c r="G337" s="15">
        <v>42175</v>
      </c>
      <c r="H337" s="32"/>
      <c r="I337" s="32"/>
    </row>
    <row r="338" spans="2:9" x14ac:dyDescent="0.3">
      <c r="B338" s="15">
        <v>42175</v>
      </c>
      <c r="C338" s="2">
        <v>73</v>
      </c>
      <c r="D338" s="2">
        <v>35</v>
      </c>
      <c r="E338" s="2">
        <f t="shared" si="13"/>
        <v>255000</v>
      </c>
      <c r="F338" s="38"/>
      <c r="G338" s="15">
        <v>42175</v>
      </c>
      <c r="H338" s="32"/>
      <c r="I338" s="32"/>
    </row>
    <row r="339" spans="2:9" x14ac:dyDescent="0.3">
      <c r="B339" s="15">
        <v>42175</v>
      </c>
      <c r="C339" s="2">
        <v>17</v>
      </c>
      <c r="D339" s="2">
        <v>30</v>
      </c>
      <c r="E339" s="2">
        <f t="shared" si="13"/>
        <v>51000</v>
      </c>
      <c r="F339" s="38"/>
      <c r="G339" s="15">
        <v>42175</v>
      </c>
      <c r="H339" s="32"/>
      <c r="I339" s="32"/>
    </row>
    <row r="340" spans="2:9" x14ac:dyDescent="0.3">
      <c r="B340" s="15">
        <v>42175</v>
      </c>
      <c r="C340" s="2">
        <v>44</v>
      </c>
      <c r="D340" s="2">
        <v>35</v>
      </c>
      <c r="E340" s="2">
        <f t="shared" si="13"/>
        <v>154000</v>
      </c>
      <c r="F340" s="38"/>
      <c r="G340" s="15">
        <v>42175</v>
      </c>
      <c r="H340" s="32"/>
      <c r="I340" s="32"/>
    </row>
    <row r="341" spans="2:9" x14ac:dyDescent="0.3">
      <c r="B341" s="15">
        <v>42175</v>
      </c>
      <c r="C341" s="2">
        <v>46</v>
      </c>
      <c r="D341" s="2">
        <v>34</v>
      </c>
      <c r="E341" s="2">
        <f t="shared" si="13"/>
        <v>156000</v>
      </c>
      <c r="F341" s="38"/>
      <c r="G341" s="15">
        <v>42175</v>
      </c>
      <c r="H341" s="32"/>
      <c r="I341" s="32"/>
    </row>
    <row r="342" spans="2:9" x14ac:dyDescent="0.3">
      <c r="B342" s="15">
        <v>42175</v>
      </c>
      <c r="C342" s="2">
        <v>36</v>
      </c>
      <c r="D342" s="2">
        <v>37</v>
      </c>
      <c r="E342" s="2">
        <f t="shared" si="13"/>
        <v>133000</v>
      </c>
      <c r="F342" s="38"/>
      <c r="G342" s="15">
        <v>42175</v>
      </c>
      <c r="H342" s="32"/>
      <c r="I342" s="32"/>
    </row>
    <row r="343" spans="2:9" x14ac:dyDescent="0.3">
      <c r="B343" s="15">
        <v>42175</v>
      </c>
      <c r="C343" s="2">
        <v>82</v>
      </c>
      <c r="D343" s="2">
        <v>36</v>
      </c>
      <c r="E343" s="2">
        <f t="shared" si="13"/>
        <v>295000</v>
      </c>
      <c r="F343" s="38"/>
      <c r="G343" s="15">
        <v>42175</v>
      </c>
      <c r="H343" s="32"/>
      <c r="I343" s="32"/>
    </row>
    <row r="344" spans="2:9" x14ac:dyDescent="0.3">
      <c r="B344" s="15">
        <v>42175</v>
      </c>
      <c r="C344" s="2">
        <v>49</v>
      </c>
      <c r="D344" s="2">
        <v>50</v>
      </c>
      <c r="E344" s="2">
        <f t="shared" si="13"/>
        <v>245000</v>
      </c>
      <c r="F344" s="38"/>
      <c r="G344" s="15">
        <v>42175</v>
      </c>
      <c r="H344" s="32"/>
      <c r="I344" s="32"/>
    </row>
    <row r="345" spans="2:9" x14ac:dyDescent="0.3">
      <c r="B345" s="15">
        <v>42175</v>
      </c>
      <c r="C345" s="2">
        <v>21</v>
      </c>
      <c r="D345" s="2">
        <v>32</v>
      </c>
      <c r="E345" s="2">
        <f t="shared" si="13"/>
        <v>67000</v>
      </c>
      <c r="F345" s="38"/>
      <c r="G345" s="15">
        <v>42175</v>
      </c>
      <c r="H345" s="32"/>
      <c r="I345" s="32"/>
    </row>
    <row r="346" spans="2:9" x14ac:dyDescent="0.3">
      <c r="B346" s="15">
        <v>42175</v>
      </c>
      <c r="C346" s="2">
        <v>100</v>
      </c>
      <c r="D346" s="2">
        <v>34</v>
      </c>
      <c r="E346" s="2">
        <f t="shared" si="13"/>
        <v>340000</v>
      </c>
      <c r="F346" s="38"/>
      <c r="G346" s="15">
        <v>42175</v>
      </c>
      <c r="H346" s="32"/>
      <c r="I346" s="32"/>
    </row>
    <row r="347" spans="2:9" x14ac:dyDescent="0.3">
      <c r="B347" s="15">
        <v>42175</v>
      </c>
      <c r="C347" s="2">
        <v>69</v>
      </c>
      <c r="D347" s="2">
        <v>36</v>
      </c>
      <c r="E347" s="2">
        <f t="shared" si="13"/>
        <v>248000</v>
      </c>
      <c r="F347" s="38"/>
      <c r="G347" s="15">
        <v>42175</v>
      </c>
      <c r="H347" s="32"/>
      <c r="I347" s="32"/>
    </row>
    <row r="348" spans="2:9" x14ac:dyDescent="0.3">
      <c r="B348" s="15">
        <v>42175</v>
      </c>
      <c r="C348" s="2">
        <v>128</v>
      </c>
      <c r="D348" s="2">
        <v>35</v>
      </c>
      <c r="E348" s="2">
        <f t="shared" si="13"/>
        <v>448000</v>
      </c>
      <c r="F348" s="38"/>
      <c r="G348" s="15">
        <v>42175</v>
      </c>
      <c r="H348" s="32"/>
      <c r="I348" s="32"/>
    </row>
    <row r="349" spans="2:9" x14ac:dyDescent="0.3">
      <c r="B349" s="15">
        <v>42175</v>
      </c>
      <c r="C349" s="2">
        <v>397</v>
      </c>
      <c r="D349" s="2">
        <v>29</v>
      </c>
      <c r="E349" s="2">
        <f t="shared" si="13"/>
        <v>1151000</v>
      </c>
      <c r="F349" s="38"/>
      <c r="G349" s="15">
        <v>42175</v>
      </c>
      <c r="H349" s="32"/>
      <c r="I349" s="32"/>
    </row>
    <row r="350" spans="2:9" x14ac:dyDescent="0.3">
      <c r="B350" s="15">
        <v>42175</v>
      </c>
      <c r="C350" s="2">
        <v>21</v>
      </c>
      <c r="D350" s="2">
        <v>38</v>
      </c>
      <c r="E350" s="2">
        <f t="shared" si="13"/>
        <v>79000</v>
      </c>
      <c r="F350" s="38">
        <v>1000</v>
      </c>
      <c r="G350" s="15">
        <v>42175</v>
      </c>
      <c r="H350" s="32"/>
      <c r="I350" s="32"/>
    </row>
    <row r="351" spans="2:9" x14ac:dyDescent="0.3">
      <c r="B351" s="15">
        <v>42175</v>
      </c>
      <c r="C351" s="2">
        <v>322</v>
      </c>
      <c r="D351" s="2">
        <v>30</v>
      </c>
      <c r="E351" s="2">
        <f t="shared" si="13"/>
        <v>966000</v>
      </c>
      <c r="F351" s="38"/>
      <c r="G351" s="15">
        <v>42175</v>
      </c>
      <c r="H351" s="32"/>
      <c r="I351" s="32"/>
    </row>
    <row r="352" spans="2:9" x14ac:dyDescent="0.3">
      <c r="B352" s="15">
        <v>42175</v>
      </c>
      <c r="C352" s="2">
        <v>35</v>
      </c>
      <c r="D352" s="2">
        <v>37</v>
      </c>
      <c r="E352" s="2">
        <f t="shared" si="13"/>
        <v>129000</v>
      </c>
      <c r="F352" s="38"/>
      <c r="G352" s="15">
        <v>42175</v>
      </c>
      <c r="H352" s="32"/>
      <c r="I352" s="32"/>
    </row>
    <row r="353" spans="2:9" x14ac:dyDescent="0.3">
      <c r="B353" s="15">
        <v>42175</v>
      </c>
      <c r="C353" s="2">
        <v>51</v>
      </c>
      <c r="D353" s="2">
        <v>38</v>
      </c>
      <c r="E353" s="2">
        <f t="shared" si="13"/>
        <v>193000</v>
      </c>
      <c r="F353" s="38"/>
      <c r="G353" s="15">
        <v>42175</v>
      </c>
      <c r="H353" s="32"/>
      <c r="I353" s="32"/>
    </row>
    <row r="354" spans="2:9" x14ac:dyDescent="0.3">
      <c r="B354" s="15">
        <v>42175</v>
      </c>
      <c r="C354" s="2">
        <v>52</v>
      </c>
      <c r="D354" s="2">
        <v>35</v>
      </c>
      <c r="E354" s="2">
        <f t="shared" si="13"/>
        <v>182000</v>
      </c>
      <c r="F354" s="38"/>
      <c r="G354" s="15">
        <v>42175</v>
      </c>
      <c r="H354" s="32"/>
      <c r="I354" s="32"/>
    </row>
    <row r="355" spans="2:9" x14ac:dyDescent="0.3">
      <c r="B355" s="15">
        <v>42175</v>
      </c>
      <c r="C355" s="2">
        <v>46</v>
      </c>
      <c r="D355" s="2">
        <v>35</v>
      </c>
      <c r="E355" s="2">
        <f t="shared" si="13"/>
        <v>161000</v>
      </c>
      <c r="F355" s="38"/>
      <c r="G355" s="15">
        <v>42175</v>
      </c>
      <c r="H355" s="32"/>
      <c r="I355" s="32"/>
    </row>
    <row r="356" spans="2:9" x14ac:dyDescent="0.3">
      <c r="B356" s="15">
        <v>42175</v>
      </c>
      <c r="C356" s="2">
        <v>32</v>
      </c>
      <c r="D356" s="2">
        <v>35</v>
      </c>
      <c r="E356" s="2">
        <f t="shared" si="13"/>
        <v>112000</v>
      </c>
      <c r="F356" s="38"/>
      <c r="G356" s="15">
        <v>42175</v>
      </c>
      <c r="H356" s="32"/>
      <c r="I356" s="32"/>
    </row>
    <row r="357" spans="2:9" x14ac:dyDescent="0.3">
      <c r="B357" s="15">
        <v>42175</v>
      </c>
      <c r="C357" s="2">
        <v>38</v>
      </c>
      <c r="D357" s="2">
        <v>39</v>
      </c>
      <c r="E357" s="2">
        <f t="shared" si="13"/>
        <v>148000</v>
      </c>
      <c r="F357" s="38"/>
      <c r="G357" s="15">
        <v>42175</v>
      </c>
      <c r="H357" s="32"/>
      <c r="I357" s="32"/>
    </row>
    <row r="358" spans="2:9" x14ac:dyDescent="0.3">
      <c r="B358" s="15">
        <v>42175</v>
      </c>
      <c r="C358" s="2">
        <v>32</v>
      </c>
      <c r="D358" s="2">
        <v>32</v>
      </c>
      <c r="E358" s="2">
        <f t="shared" si="13"/>
        <v>102000</v>
      </c>
      <c r="F358" s="38"/>
      <c r="G358" s="15">
        <v>42175</v>
      </c>
      <c r="H358" s="32"/>
      <c r="I358" s="32"/>
    </row>
    <row r="359" spans="2:9" x14ac:dyDescent="0.3">
      <c r="B359" s="15">
        <v>42175</v>
      </c>
      <c r="C359" s="2">
        <v>23</v>
      </c>
      <c r="D359" s="2">
        <v>36</v>
      </c>
      <c r="E359" s="2">
        <f t="shared" si="13"/>
        <v>82000</v>
      </c>
      <c r="F359" s="38"/>
      <c r="G359" s="15">
        <v>42175</v>
      </c>
      <c r="H359" s="32"/>
      <c r="I359" s="32"/>
    </row>
    <row r="360" spans="2:9" x14ac:dyDescent="0.3">
      <c r="B360" s="15">
        <v>42175</v>
      </c>
      <c r="C360" s="2">
        <v>23</v>
      </c>
      <c r="D360" s="2">
        <v>50</v>
      </c>
      <c r="E360" s="2">
        <f t="shared" si="13"/>
        <v>115000</v>
      </c>
      <c r="F360" s="38"/>
      <c r="G360" s="15">
        <v>42175</v>
      </c>
      <c r="H360" s="32"/>
      <c r="I360" s="32"/>
    </row>
    <row r="361" spans="2:9" x14ac:dyDescent="0.3">
      <c r="B361" s="15">
        <v>42175</v>
      </c>
      <c r="C361" s="2">
        <v>34</v>
      </c>
      <c r="D361" s="2">
        <v>36</v>
      </c>
      <c r="E361" s="2">
        <f t="shared" si="13"/>
        <v>122000</v>
      </c>
      <c r="F361" s="38"/>
      <c r="G361" s="15">
        <v>42175</v>
      </c>
      <c r="H361" s="32"/>
      <c r="I361" s="32"/>
    </row>
    <row r="362" spans="2:9" x14ac:dyDescent="0.3">
      <c r="B362" s="15">
        <v>42175</v>
      </c>
      <c r="C362" s="2">
        <v>19</v>
      </c>
      <c r="D362" s="2">
        <v>36</v>
      </c>
      <c r="E362" s="2">
        <f t="shared" si="13"/>
        <v>68000</v>
      </c>
      <c r="F362" s="38"/>
      <c r="G362" s="15">
        <v>42175</v>
      </c>
      <c r="H362" s="32"/>
      <c r="I362" s="32"/>
    </row>
    <row r="363" spans="2:9" x14ac:dyDescent="0.3">
      <c r="B363" s="15">
        <v>42175</v>
      </c>
      <c r="C363" s="2">
        <v>334</v>
      </c>
      <c r="D363" s="2">
        <v>35</v>
      </c>
      <c r="E363" s="2">
        <f t="shared" si="13"/>
        <v>1169000</v>
      </c>
      <c r="F363" s="38"/>
      <c r="G363" s="15">
        <v>42175</v>
      </c>
      <c r="H363" s="32"/>
      <c r="I363" s="32"/>
    </row>
    <row r="364" spans="2:9" x14ac:dyDescent="0.3">
      <c r="B364" s="15">
        <v>42175</v>
      </c>
      <c r="C364" s="2">
        <v>19</v>
      </c>
      <c r="D364" s="2">
        <v>37</v>
      </c>
      <c r="E364" s="2">
        <f t="shared" si="13"/>
        <v>70000</v>
      </c>
      <c r="F364" s="38"/>
      <c r="G364" s="15">
        <v>42175</v>
      </c>
      <c r="H364" s="32"/>
      <c r="I364" s="32"/>
    </row>
    <row r="365" spans="2:9" x14ac:dyDescent="0.3">
      <c r="B365" s="15">
        <v>42175</v>
      </c>
      <c r="C365" s="2">
        <v>55</v>
      </c>
      <c r="D365" s="2">
        <v>35</v>
      </c>
      <c r="E365" s="2">
        <f t="shared" si="13"/>
        <v>192000</v>
      </c>
      <c r="F365" s="38"/>
      <c r="G365" s="15">
        <v>42175</v>
      </c>
      <c r="H365" s="32"/>
      <c r="I365" s="32"/>
    </row>
    <row r="366" spans="2:9" x14ac:dyDescent="0.3">
      <c r="B366" s="15">
        <v>42175</v>
      </c>
      <c r="C366" s="2">
        <v>46</v>
      </c>
      <c r="D366" s="2">
        <v>34</v>
      </c>
      <c r="E366" s="2">
        <f t="shared" si="13"/>
        <v>156000</v>
      </c>
      <c r="F366" s="38"/>
      <c r="G366" s="15">
        <v>42175</v>
      </c>
      <c r="H366" s="32"/>
      <c r="I366" s="32"/>
    </row>
    <row r="367" spans="2:9" x14ac:dyDescent="0.3">
      <c r="B367" s="15">
        <v>42175</v>
      </c>
      <c r="C367" s="2">
        <v>49</v>
      </c>
      <c r="D367" s="2">
        <v>38</v>
      </c>
      <c r="E367" s="2">
        <f t="shared" si="13"/>
        <v>186000</v>
      </c>
      <c r="F367" s="38"/>
      <c r="G367" s="15">
        <v>42175</v>
      </c>
      <c r="H367" s="32"/>
      <c r="I367" s="32"/>
    </row>
    <row r="368" spans="2:9" x14ac:dyDescent="0.3">
      <c r="B368" s="15">
        <v>42175</v>
      </c>
      <c r="C368" s="2">
        <v>26</v>
      </c>
      <c r="D368" s="2">
        <v>32</v>
      </c>
      <c r="E368" s="2">
        <f t="shared" si="13"/>
        <v>83000</v>
      </c>
      <c r="F368" s="38"/>
      <c r="G368" s="15">
        <v>42175</v>
      </c>
      <c r="H368" s="32"/>
      <c r="I368" s="32"/>
    </row>
    <row r="369" spans="2:9" x14ac:dyDescent="0.3">
      <c r="B369" s="15">
        <v>42175</v>
      </c>
      <c r="C369" s="2">
        <v>49</v>
      </c>
      <c r="D369" s="2">
        <v>36</v>
      </c>
      <c r="E369" s="2">
        <f t="shared" si="13"/>
        <v>176000</v>
      </c>
      <c r="F369" s="38"/>
      <c r="G369" s="15">
        <v>42175</v>
      </c>
      <c r="H369" s="32"/>
      <c r="I369" s="32"/>
    </row>
    <row r="370" spans="2:9" x14ac:dyDescent="0.3">
      <c r="B370" s="15">
        <v>42175</v>
      </c>
      <c r="C370" s="2">
        <v>51</v>
      </c>
      <c r="D370" s="2">
        <v>36</v>
      </c>
      <c r="E370" s="2">
        <f t="shared" si="13"/>
        <v>183000</v>
      </c>
      <c r="F370" s="38"/>
      <c r="G370" s="15">
        <v>42175</v>
      </c>
      <c r="H370" s="32"/>
      <c r="I370" s="32"/>
    </row>
    <row r="371" spans="2:9" x14ac:dyDescent="0.3">
      <c r="B371" s="15">
        <v>42175</v>
      </c>
      <c r="C371" s="2">
        <v>249</v>
      </c>
      <c r="D371" s="2">
        <v>29</v>
      </c>
      <c r="E371" s="2">
        <f t="shared" si="13"/>
        <v>722000</v>
      </c>
      <c r="F371" s="38"/>
      <c r="G371" s="15">
        <v>42175</v>
      </c>
      <c r="H371" s="32"/>
      <c r="I371" s="32"/>
    </row>
    <row r="372" spans="2:9" x14ac:dyDescent="0.3">
      <c r="B372" s="15">
        <v>42175</v>
      </c>
      <c r="C372" s="2">
        <v>40</v>
      </c>
      <c r="D372" s="2">
        <v>52</v>
      </c>
      <c r="E372" s="2">
        <f t="shared" si="13"/>
        <v>208000</v>
      </c>
      <c r="F372" s="38"/>
      <c r="G372" s="15">
        <v>42175</v>
      </c>
      <c r="H372" s="32"/>
      <c r="I372" s="32"/>
    </row>
    <row r="373" spans="2:9" x14ac:dyDescent="0.3">
      <c r="B373" s="15">
        <v>42175</v>
      </c>
      <c r="C373" s="2">
        <v>34</v>
      </c>
      <c r="D373" s="2">
        <v>126</v>
      </c>
      <c r="E373" s="2">
        <f t="shared" si="13"/>
        <v>428000</v>
      </c>
      <c r="F373" s="38"/>
      <c r="G373" s="15">
        <v>42175</v>
      </c>
      <c r="H373" s="32"/>
      <c r="I373" s="32"/>
    </row>
    <row r="374" spans="2:9" x14ac:dyDescent="0.3">
      <c r="B374" s="15">
        <v>42175</v>
      </c>
      <c r="C374" s="2">
        <f>SUM(C332:C373)</f>
        <v>3439</v>
      </c>
      <c r="E374" s="2">
        <f>SUM(E332:F373)</f>
        <v>11858000</v>
      </c>
      <c r="F374" s="38"/>
      <c r="G374" s="15">
        <v>42175</v>
      </c>
      <c r="H374" s="32"/>
      <c r="I374" s="32"/>
    </row>
    <row r="375" spans="2:9" x14ac:dyDescent="0.3">
      <c r="E375" s="2">
        <f t="shared" si="13"/>
        <v>0</v>
      </c>
      <c r="F375" s="38"/>
      <c r="G375" s="32"/>
      <c r="H375" s="32"/>
      <c r="I375" s="32"/>
    </row>
    <row r="376" spans="2:9" x14ac:dyDescent="0.3">
      <c r="E376" s="2">
        <f t="shared" si="13"/>
        <v>0</v>
      </c>
      <c r="F376" s="38"/>
      <c r="G376" s="32"/>
      <c r="H376" s="32"/>
      <c r="I376" s="32"/>
    </row>
    <row r="377" spans="2:9" x14ac:dyDescent="0.3">
      <c r="E377" s="2">
        <f t="shared" si="13"/>
        <v>0</v>
      </c>
      <c r="F377" s="38"/>
      <c r="G377" s="32"/>
      <c r="H377" s="32"/>
      <c r="I377" s="32"/>
    </row>
    <row r="378" spans="2:9" x14ac:dyDescent="0.3">
      <c r="E378" s="2">
        <f t="shared" si="13"/>
        <v>0</v>
      </c>
      <c r="F378" s="38"/>
      <c r="G378" s="32"/>
      <c r="H378" s="32"/>
      <c r="I378" s="32"/>
    </row>
    <row r="379" spans="2:9" x14ac:dyDescent="0.3">
      <c r="E379" s="2">
        <f t="shared" si="13"/>
        <v>0</v>
      </c>
      <c r="F379" s="38"/>
      <c r="G379" s="32"/>
      <c r="H379" s="32"/>
      <c r="I379" s="32"/>
    </row>
    <row r="380" spans="2:9" x14ac:dyDescent="0.3">
      <c r="E380" s="2">
        <f t="shared" si="13"/>
        <v>0</v>
      </c>
      <c r="F380" s="38"/>
      <c r="G380" s="32"/>
      <c r="H380" s="32"/>
      <c r="I380" s="32"/>
    </row>
    <row r="381" spans="2:9" x14ac:dyDescent="0.3">
      <c r="E381" s="2">
        <f t="shared" si="13"/>
        <v>0</v>
      </c>
      <c r="F381" s="38"/>
      <c r="G381" s="32"/>
      <c r="H381" s="32"/>
      <c r="I381" s="32"/>
    </row>
    <row r="382" spans="2:9" x14ac:dyDescent="0.3">
      <c r="E382" s="2">
        <f t="shared" si="13"/>
        <v>0</v>
      </c>
      <c r="F382" s="38"/>
      <c r="G382" s="32"/>
      <c r="H382" s="32"/>
      <c r="I382" s="32"/>
    </row>
    <row r="383" spans="2:9" x14ac:dyDescent="0.3">
      <c r="E383" s="2">
        <f t="shared" si="13"/>
        <v>0</v>
      </c>
      <c r="F383" s="38"/>
      <c r="G383" s="32"/>
      <c r="H383" s="32"/>
      <c r="I383" s="32"/>
    </row>
    <row r="384" spans="2:9" x14ac:dyDescent="0.3">
      <c r="E384" s="2">
        <f t="shared" si="13"/>
        <v>0</v>
      </c>
      <c r="F384" s="38"/>
      <c r="G384" s="32"/>
      <c r="H384" s="32"/>
      <c r="I384" s="32"/>
    </row>
    <row r="385" spans="5:9" x14ac:dyDescent="0.3">
      <c r="E385" s="2">
        <f t="shared" si="13"/>
        <v>0</v>
      </c>
      <c r="F385" s="38"/>
      <c r="G385" s="32"/>
      <c r="H385" s="32"/>
      <c r="I385" s="32"/>
    </row>
    <row r="386" spans="5:9" x14ac:dyDescent="0.3">
      <c r="E386" s="2">
        <f t="shared" si="13"/>
        <v>0</v>
      </c>
      <c r="F386" s="38"/>
      <c r="G386" s="32"/>
      <c r="H386" s="32"/>
      <c r="I386" s="32"/>
    </row>
    <row r="387" spans="5:9" x14ac:dyDescent="0.3">
      <c r="E387" s="2">
        <f t="shared" si="13"/>
        <v>0</v>
      </c>
      <c r="F387" s="38"/>
      <c r="G387" s="32"/>
      <c r="H387" s="32"/>
      <c r="I387" s="32"/>
    </row>
    <row r="388" spans="5:9" x14ac:dyDescent="0.3">
      <c r="E388" s="2">
        <f t="shared" si="13"/>
        <v>0</v>
      </c>
      <c r="F388" s="38"/>
      <c r="G388" s="32"/>
      <c r="H388" s="32"/>
      <c r="I388" s="32"/>
    </row>
    <row r="389" spans="5:9" x14ac:dyDescent="0.3">
      <c r="E389" s="2">
        <f t="shared" si="13"/>
        <v>0</v>
      </c>
      <c r="F389" s="38"/>
      <c r="G389" s="32"/>
      <c r="H389" s="32"/>
      <c r="I389" s="32"/>
    </row>
    <row r="390" spans="5:9" x14ac:dyDescent="0.3">
      <c r="E390" s="2">
        <f t="shared" si="13"/>
        <v>0</v>
      </c>
      <c r="F390" s="38"/>
      <c r="G390" s="32"/>
      <c r="H390" s="32"/>
      <c r="I390" s="32"/>
    </row>
    <row r="391" spans="5:9" x14ac:dyDescent="0.3">
      <c r="E391" s="2">
        <f t="shared" si="13"/>
        <v>0</v>
      </c>
      <c r="F391" s="38"/>
      <c r="G391" s="32"/>
      <c r="H391" s="32"/>
      <c r="I391" s="32"/>
    </row>
    <row r="392" spans="5:9" x14ac:dyDescent="0.3">
      <c r="E392" s="2">
        <f t="shared" si="13"/>
        <v>0</v>
      </c>
      <c r="F392" s="38"/>
      <c r="G392" s="32"/>
      <c r="H392" s="32"/>
      <c r="I392" s="32"/>
    </row>
    <row r="393" spans="5:9" x14ac:dyDescent="0.3">
      <c r="E393" s="2">
        <f t="shared" si="13"/>
        <v>0</v>
      </c>
      <c r="F393" s="38"/>
      <c r="G393" s="32"/>
      <c r="H393" s="32"/>
      <c r="I393" s="32"/>
    </row>
    <row r="394" spans="5:9" x14ac:dyDescent="0.3">
      <c r="E394" s="2">
        <f t="shared" si="13"/>
        <v>0</v>
      </c>
      <c r="F394" s="38"/>
      <c r="G394" s="32"/>
      <c r="H394" s="32"/>
      <c r="I394" s="32"/>
    </row>
    <row r="395" spans="5:9" x14ac:dyDescent="0.3">
      <c r="E395" s="2">
        <f t="shared" si="13"/>
        <v>0</v>
      </c>
      <c r="F395" s="38"/>
      <c r="G395" s="32"/>
      <c r="H395" s="32"/>
      <c r="I395" s="32"/>
    </row>
    <row r="396" spans="5:9" x14ac:dyDescent="0.3">
      <c r="E396" s="2">
        <f t="shared" ref="E396:E439" si="14">FLOOR(C396*D396/10*1000,1000)</f>
        <v>0</v>
      </c>
      <c r="F396" s="38"/>
      <c r="G396" s="32"/>
      <c r="H396" s="32"/>
      <c r="I396" s="32"/>
    </row>
    <row r="397" spans="5:9" x14ac:dyDescent="0.3">
      <c r="E397" s="2">
        <f t="shared" si="14"/>
        <v>0</v>
      </c>
      <c r="F397" s="38"/>
      <c r="G397" s="32"/>
      <c r="H397" s="32"/>
      <c r="I397" s="32"/>
    </row>
    <row r="398" spans="5:9" x14ac:dyDescent="0.3">
      <c r="E398" s="2">
        <f t="shared" si="14"/>
        <v>0</v>
      </c>
      <c r="F398" s="38"/>
      <c r="G398" s="32"/>
      <c r="H398" s="32"/>
      <c r="I398" s="32"/>
    </row>
    <row r="399" spans="5:9" x14ac:dyDescent="0.3">
      <c r="E399" s="2">
        <f t="shared" si="14"/>
        <v>0</v>
      </c>
      <c r="F399" s="38"/>
      <c r="G399" s="32"/>
      <c r="H399" s="32"/>
      <c r="I399" s="32"/>
    </row>
    <row r="400" spans="5:9" x14ac:dyDescent="0.3">
      <c r="E400" s="2">
        <f t="shared" si="14"/>
        <v>0</v>
      </c>
      <c r="F400" s="38"/>
      <c r="G400" s="32"/>
      <c r="H400" s="32"/>
      <c r="I400" s="32"/>
    </row>
    <row r="401" spans="5:9" x14ac:dyDescent="0.3">
      <c r="E401" s="2">
        <f t="shared" si="14"/>
        <v>0</v>
      </c>
      <c r="F401" s="38"/>
      <c r="G401" s="32"/>
      <c r="H401" s="32"/>
      <c r="I401" s="32"/>
    </row>
    <row r="402" spans="5:9" x14ac:dyDescent="0.3">
      <c r="E402" s="2">
        <f t="shared" si="14"/>
        <v>0</v>
      </c>
      <c r="F402" s="38"/>
      <c r="G402" s="32"/>
      <c r="H402" s="32"/>
      <c r="I402" s="32"/>
    </row>
    <row r="403" spans="5:9" x14ac:dyDescent="0.3">
      <c r="E403" s="2">
        <f t="shared" si="14"/>
        <v>0</v>
      </c>
      <c r="F403" s="38"/>
      <c r="G403" s="32"/>
      <c r="H403" s="32"/>
      <c r="I403" s="32"/>
    </row>
    <row r="404" spans="5:9" x14ac:dyDescent="0.3">
      <c r="E404" s="2">
        <f t="shared" si="14"/>
        <v>0</v>
      </c>
      <c r="F404" s="38"/>
      <c r="G404" s="32"/>
      <c r="H404" s="32"/>
      <c r="I404" s="32"/>
    </row>
    <row r="405" spans="5:9" x14ac:dyDescent="0.3">
      <c r="E405" s="2">
        <f t="shared" si="14"/>
        <v>0</v>
      </c>
      <c r="F405" s="38"/>
      <c r="G405" s="32"/>
      <c r="H405" s="32"/>
      <c r="I405" s="32"/>
    </row>
    <row r="406" spans="5:9" x14ac:dyDescent="0.3">
      <c r="E406" s="2">
        <f t="shared" si="14"/>
        <v>0</v>
      </c>
      <c r="F406" s="38"/>
      <c r="G406" s="32"/>
      <c r="H406" s="32"/>
      <c r="I406" s="32"/>
    </row>
    <row r="407" spans="5:9" x14ac:dyDescent="0.3">
      <c r="E407" s="2">
        <f t="shared" si="14"/>
        <v>0</v>
      </c>
      <c r="F407" s="38"/>
      <c r="G407" s="32"/>
      <c r="H407" s="32"/>
      <c r="I407" s="32"/>
    </row>
    <row r="408" spans="5:9" x14ac:dyDescent="0.3">
      <c r="E408" s="2">
        <f t="shared" si="14"/>
        <v>0</v>
      </c>
      <c r="F408" s="38"/>
      <c r="G408" s="32"/>
      <c r="H408" s="32"/>
      <c r="I408" s="32"/>
    </row>
    <row r="409" spans="5:9" x14ac:dyDescent="0.3">
      <c r="E409" s="2">
        <f t="shared" si="14"/>
        <v>0</v>
      </c>
      <c r="F409" s="38"/>
      <c r="G409" s="32"/>
      <c r="H409" s="32"/>
      <c r="I409" s="32"/>
    </row>
    <row r="410" spans="5:9" x14ac:dyDescent="0.3">
      <c r="E410" s="2">
        <f t="shared" si="14"/>
        <v>0</v>
      </c>
      <c r="F410" s="38"/>
      <c r="G410" s="32"/>
      <c r="H410" s="32"/>
      <c r="I410" s="32"/>
    </row>
    <row r="411" spans="5:9" x14ac:dyDescent="0.3">
      <c r="E411" s="2">
        <f t="shared" si="14"/>
        <v>0</v>
      </c>
      <c r="F411" s="38"/>
      <c r="G411" s="32"/>
      <c r="H411" s="32"/>
      <c r="I411" s="32"/>
    </row>
    <row r="412" spans="5:9" x14ac:dyDescent="0.3">
      <c r="E412" s="2">
        <f t="shared" si="14"/>
        <v>0</v>
      </c>
      <c r="F412" s="38"/>
      <c r="G412" s="32"/>
      <c r="H412" s="32"/>
      <c r="I412" s="32"/>
    </row>
    <row r="413" spans="5:9" x14ac:dyDescent="0.3">
      <c r="E413" s="2">
        <f t="shared" si="14"/>
        <v>0</v>
      </c>
      <c r="F413" s="38"/>
      <c r="G413" s="32"/>
      <c r="H413" s="32"/>
      <c r="I413" s="32"/>
    </row>
    <row r="414" spans="5:9" x14ac:dyDescent="0.3">
      <c r="E414" s="2">
        <f t="shared" si="14"/>
        <v>0</v>
      </c>
      <c r="F414" s="38"/>
      <c r="G414" s="32"/>
      <c r="H414" s="32"/>
      <c r="I414" s="32"/>
    </row>
    <row r="415" spans="5:9" x14ac:dyDescent="0.3">
      <c r="E415" s="2">
        <f t="shared" si="14"/>
        <v>0</v>
      </c>
      <c r="F415" s="38"/>
      <c r="G415" s="32"/>
      <c r="H415" s="32"/>
      <c r="I415" s="32"/>
    </row>
    <row r="416" spans="5:9" x14ac:dyDescent="0.3">
      <c r="E416" s="2">
        <f t="shared" si="14"/>
        <v>0</v>
      </c>
      <c r="F416" s="38"/>
      <c r="G416" s="32"/>
      <c r="H416" s="32"/>
      <c r="I416" s="32"/>
    </row>
    <row r="417" spans="5:9" x14ac:dyDescent="0.3">
      <c r="E417" s="2">
        <f t="shared" si="14"/>
        <v>0</v>
      </c>
      <c r="F417" s="38"/>
      <c r="G417" s="32"/>
      <c r="H417" s="32"/>
      <c r="I417" s="32"/>
    </row>
    <row r="418" spans="5:9" x14ac:dyDescent="0.3">
      <c r="E418" s="2">
        <f t="shared" si="14"/>
        <v>0</v>
      </c>
      <c r="F418" s="38"/>
      <c r="G418" s="32"/>
      <c r="H418" s="32"/>
      <c r="I418" s="32"/>
    </row>
    <row r="419" spans="5:9" x14ac:dyDescent="0.3">
      <c r="E419" s="2">
        <f t="shared" si="14"/>
        <v>0</v>
      </c>
      <c r="F419" s="38"/>
      <c r="G419" s="32"/>
      <c r="H419" s="32"/>
      <c r="I419" s="32"/>
    </row>
    <row r="420" spans="5:9" x14ac:dyDescent="0.3">
      <c r="E420" s="2">
        <f t="shared" si="14"/>
        <v>0</v>
      </c>
      <c r="F420" s="38"/>
      <c r="G420" s="32"/>
      <c r="H420" s="32"/>
      <c r="I420" s="32"/>
    </row>
    <row r="421" spans="5:9" x14ac:dyDescent="0.3">
      <c r="E421" s="2">
        <f t="shared" si="14"/>
        <v>0</v>
      </c>
      <c r="F421" s="38"/>
      <c r="G421" s="32"/>
      <c r="H421" s="32"/>
      <c r="I421" s="32"/>
    </row>
    <row r="422" spans="5:9" x14ac:dyDescent="0.3">
      <c r="E422" s="2">
        <f t="shared" si="14"/>
        <v>0</v>
      </c>
      <c r="F422" s="38"/>
      <c r="G422" s="32"/>
      <c r="H422" s="32"/>
      <c r="I422" s="32"/>
    </row>
    <row r="423" spans="5:9" x14ac:dyDescent="0.3">
      <c r="E423" s="2">
        <f t="shared" si="14"/>
        <v>0</v>
      </c>
      <c r="F423" s="38"/>
      <c r="G423" s="32"/>
      <c r="H423" s="32"/>
      <c r="I423" s="32"/>
    </row>
    <row r="424" spans="5:9" x14ac:dyDescent="0.3">
      <c r="E424" s="2">
        <f t="shared" si="14"/>
        <v>0</v>
      </c>
      <c r="F424" s="38"/>
      <c r="G424" s="32"/>
      <c r="H424" s="32"/>
      <c r="I424" s="32"/>
    </row>
    <row r="425" spans="5:9" x14ac:dyDescent="0.3">
      <c r="E425" s="2">
        <f t="shared" si="14"/>
        <v>0</v>
      </c>
      <c r="F425" s="38"/>
      <c r="G425" s="32"/>
      <c r="H425" s="32"/>
      <c r="I425" s="32"/>
    </row>
    <row r="426" spans="5:9" x14ac:dyDescent="0.3">
      <c r="E426" s="2">
        <f t="shared" si="14"/>
        <v>0</v>
      </c>
      <c r="F426" s="38"/>
      <c r="G426" s="32"/>
      <c r="H426" s="32"/>
      <c r="I426" s="32"/>
    </row>
    <row r="427" spans="5:9" x14ac:dyDescent="0.3">
      <c r="E427" s="2">
        <f t="shared" si="14"/>
        <v>0</v>
      </c>
      <c r="F427" s="38"/>
      <c r="G427" s="32"/>
      <c r="H427" s="32"/>
      <c r="I427" s="32"/>
    </row>
    <row r="428" spans="5:9" x14ac:dyDescent="0.3">
      <c r="E428" s="2">
        <f t="shared" si="14"/>
        <v>0</v>
      </c>
      <c r="F428" s="38"/>
      <c r="G428" s="32"/>
      <c r="H428" s="32"/>
      <c r="I428" s="32"/>
    </row>
    <row r="429" spans="5:9" x14ac:dyDescent="0.3">
      <c r="E429" s="2">
        <f t="shared" si="14"/>
        <v>0</v>
      </c>
      <c r="F429" s="38"/>
      <c r="G429" s="32"/>
      <c r="H429" s="32"/>
      <c r="I429" s="32"/>
    </row>
    <row r="430" spans="5:9" x14ac:dyDescent="0.3">
      <c r="E430" s="2">
        <f t="shared" si="14"/>
        <v>0</v>
      </c>
      <c r="F430" s="38"/>
      <c r="G430" s="32"/>
      <c r="H430" s="32"/>
      <c r="I430" s="32"/>
    </row>
    <row r="431" spans="5:9" x14ac:dyDescent="0.3">
      <c r="E431" s="2">
        <f t="shared" si="14"/>
        <v>0</v>
      </c>
      <c r="F431" s="38"/>
      <c r="G431" s="32"/>
      <c r="H431" s="32"/>
      <c r="I431" s="32"/>
    </row>
    <row r="432" spans="5:9" x14ac:dyDescent="0.3">
      <c r="E432" s="2">
        <f t="shared" si="14"/>
        <v>0</v>
      </c>
      <c r="F432" s="38"/>
      <c r="G432" s="32"/>
      <c r="H432" s="32"/>
      <c r="I432" s="32"/>
    </row>
    <row r="433" spans="5:9" x14ac:dyDescent="0.3">
      <c r="E433" s="2">
        <f t="shared" si="14"/>
        <v>0</v>
      </c>
      <c r="F433" s="38"/>
      <c r="G433" s="32"/>
      <c r="H433" s="32"/>
      <c r="I433" s="32"/>
    </row>
    <row r="434" spans="5:9" x14ac:dyDescent="0.3">
      <c r="E434" s="2">
        <f t="shared" si="14"/>
        <v>0</v>
      </c>
      <c r="F434" s="38"/>
      <c r="G434" s="32"/>
      <c r="H434" s="32"/>
      <c r="I434" s="32"/>
    </row>
    <row r="435" spans="5:9" x14ac:dyDescent="0.3">
      <c r="E435" s="2">
        <f t="shared" si="14"/>
        <v>0</v>
      </c>
      <c r="F435" s="38"/>
      <c r="G435" s="32"/>
      <c r="H435" s="32"/>
      <c r="I435" s="32"/>
    </row>
    <row r="436" spans="5:9" x14ac:dyDescent="0.3">
      <c r="E436" s="2">
        <f t="shared" si="14"/>
        <v>0</v>
      </c>
      <c r="F436" s="38"/>
      <c r="G436" s="32"/>
      <c r="H436" s="32"/>
      <c r="I436" s="32"/>
    </row>
    <row r="437" spans="5:9" x14ac:dyDescent="0.3">
      <c r="E437" s="2">
        <f t="shared" si="14"/>
        <v>0</v>
      </c>
      <c r="F437" s="38"/>
      <c r="G437" s="32"/>
      <c r="H437" s="32"/>
      <c r="I437" s="32"/>
    </row>
    <row r="438" spans="5:9" x14ac:dyDescent="0.3">
      <c r="E438" s="2">
        <f t="shared" si="14"/>
        <v>0</v>
      </c>
      <c r="F438" s="38"/>
      <c r="G438" s="32"/>
      <c r="H438" s="32"/>
      <c r="I438" s="32"/>
    </row>
    <row r="439" spans="5:9" x14ac:dyDescent="0.3">
      <c r="E439" s="2">
        <f t="shared" si="14"/>
        <v>0</v>
      </c>
      <c r="F439" s="38"/>
      <c r="G439" s="32"/>
      <c r="H439" s="32"/>
      <c r="I439" s="32"/>
    </row>
    <row r="440" spans="5:9" x14ac:dyDescent="0.3">
      <c r="F440" s="38"/>
      <c r="G440" s="32"/>
      <c r="H440" s="32"/>
      <c r="I440" s="32"/>
    </row>
    <row r="441" spans="5:9" x14ac:dyDescent="0.3">
      <c r="F441" s="38"/>
      <c r="G441" s="32"/>
      <c r="H441" s="32"/>
      <c r="I441" s="32"/>
    </row>
    <row r="442" spans="5:9" x14ac:dyDescent="0.3">
      <c r="F442" s="38"/>
      <c r="G442" s="32"/>
      <c r="H442" s="32"/>
      <c r="I442" s="32"/>
    </row>
    <row r="443" spans="5:9" x14ac:dyDescent="0.3">
      <c r="F443" s="38"/>
      <c r="G443" s="32"/>
      <c r="H443" s="32"/>
      <c r="I443" s="32"/>
    </row>
    <row r="444" spans="5:9" x14ac:dyDescent="0.3">
      <c r="F444" s="38"/>
      <c r="G444" s="32"/>
      <c r="H444" s="32"/>
      <c r="I444" s="32"/>
    </row>
    <row r="445" spans="5:9" x14ac:dyDescent="0.3">
      <c r="F445" s="38"/>
      <c r="G445" s="32"/>
      <c r="H445" s="32"/>
      <c r="I445" s="32"/>
    </row>
    <row r="446" spans="5:9" x14ac:dyDescent="0.3">
      <c r="F446" s="38"/>
      <c r="G446" s="32"/>
      <c r="H446" s="32"/>
      <c r="I446" s="32"/>
    </row>
    <row r="447" spans="5:9" x14ac:dyDescent="0.3">
      <c r="F447" s="38"/>
      <c r="G447" s="32"/>
      <c r="H447" s="32"/>
      <c r="I447" s="32"/>
    </row>
    <row r="448" spans="5:9" x14ac:dyDescent="0.3">
      <c r="F448" s="38"/>
      <c r="G448" s="32"/>
      <c r="H448" s="32"/>
      <c r="I448" s="32"/>
    </row>
    <row r="449" spans="6:9" x14ac:dyDescent="0.3">
      <c r="F449" s="38"/>
      <c r="G449" s="32"/>
      <c r="H449" s="32"/>
      <c r="I449" s="32"/>
    </row>
    <row r="450" spans="6:9" x14ac:dyDescent="0.3">
      <c r="F450" s="38"/>
      <c r="G450" s="32"/>
      <c r="H450" s="32"/>
      <c r="I450" s="32"/>
    </row>
    <row r="451" spans="6:9" x14ac:dyDescent="0.3">
      <c r="F451" s="38"/>
      <c r="G451" s="32"/>
      <c r="H451" s="32"/>
      <c r="I451" s="32"/>
    </row>
    <row r="452" spans="6:9" x14ac:dyDescent="0.3">
      <c r="F452" s="38"/>
      <c r="G452" s="32"/>
      <c r="H452" s="32"/>
      <c r="I452" s="32"/>
    </row>
    <row r="453" spans="6:9" x14ac:dyDescent="0.3">
      <c r="F453" s="38"/>
      <c r="G453" s="32"/>
      <c r="H453" s="32"/>
      <c r="I453" s="32"/>
    </row>
    <row r="454" spans="6:9" x14ac:dyDescent="0.3">
      <c r="F454" s="38"/>
      <c r="G454" s="32"/>
      <c r="H454" s="32"/>
      <c r="I454" s="32"/>
    </row>
  </sheetData>
  <mergeCells count="13">
    <mergeCell ref="B197:B210"/>
    <mergeCell ref="B182:B194"/>
    <mergeCell ref="B165:B179"/>
    <mergeCell ref="B149:B162"/>
    <mergeCell ref="B29:B46"/>
    <mergeCell ref="B17:B26"/>
    <mergeCell ref="B2:B14"/>
    <mergeCell ref="B130:B146"/>
    <mergeCell ref="B126:B127"/>
    <mergeCell ref="B104:B123"/>
    <mergeCell ref="B95:B101"/>
    <mergeCell ref="B67:B92"/>
    <mergeCell ref="B49:B6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H277"/>
  <sheetViews>
    <sheetView zoomScaleNormal="100" workbookViewId="0">
      <pane ySplit="1" topLeftCell="A266" activePane="bottomLeft" state="frozen"/>
      <selection pane="bottomLeft" activeCell="E277" sqref="E277"/>
    </sheetView>
  </sheetViews>
  <sheetFormatPr defaultRowHeight="18.75" x14ac:dyDescent="0.25"/>
  <cols>
    <col min="1" max="1" width="9.140625" style="11"/>
    <col min="2" max="4" width="21.28515625" style="11" customWidth="1"/>
    <col min="5" max="5" width="21.28515625" style="12" customWidth="1"/>
    <col min="6" max="6" width="13.7109375" style="11" bestFit="1" customWidth="1"/>
    <col min="7" max="7" width="12.28515625" style="11" bestFit="1" customWidth="1"/>
    <col min="8" max="8" width="25.42578125" style="11" bestFit="1" customWidth="1"/>
    <col min="9" max="16384" width="9.140625" style="11"/>
  </cols>
  <sheetData>
    <row r="1" spans="2:8" x14ac:dyDescent="0.25">
      <c r="B1" s="11" t="s">
        <v>12</v>
      </c>
      <c r="C1" s="11" t="s">
        <v>6</v>
      </c>
      <c r="D1" s="11" t="s">
        <v>7</v>
      </c>
      <c r="E1" s="12" t="s">
        <v>8</v>
      </c>
      <c r="F1" s="11" t="s">
        <v>9</v>
      </c>
      <c r="G1" s="11" t="s">
        <v>10</v>
      </c>
      <c r="H1" s="11" t="s">
        <v>11</v>
      </c>
    </row>
    <row r="3" spans="2:8" x14ac:dyDescent="0.25">
      <c r="B3" s="15">
        <v>42154</v>
      </c>
      <c r="C3" s="11">
        <v>58</v>
      </c>
      <c r="D3" s="11">
        <v>33</v>
      </c>
      <c r="E3" s="12">
        <f t="shared" ref="E3:E9" si="0">FLOOR(C3*D3/10*1000,1000)</f>
        <v>191000</v>
      </c>
      <c r="G3" s="15">
        <v>42154</v>
      </c>
    </row>
    <row r="4" spans="2:8" x14ac:dyDescent="0.25">
      <c r="B4" s="15">
        <v>42154</v>
      </c>
      <c r="C4" s="11">
        <v>30</v>
      </c>
      <c r="D4" s="11">
        <v>33</v>
      </c>
      <c r="E4" s="12">
        <f t="shared" si="0"/>
        <v>99000</v>
      </c>
      <c r="G4" s="15">
        <v>42154</v>
      </c>
    </row>
    <row r="5" spans="2:8" x14ac:dyDescent="0.25">
      <c r="B5" s="15">
        <v>42154</v>
      </c>
      <c r="C5" s="11">
        <v>27</v>
      </c>
      <c r="D5" s="11">
        <v>33</v>
      </c>
      <c r="E5" s="12">
        <f t="shared" si="0"/>
        <v>89000</v>
      </c>
      <c r="G5" s="15">
        <v>42154</v>
      </c>
    </row>
    <row r="6" spans="2:8" x14ac:dyDescent="0.25">
      <c r="B6" s="15">
        <v>42154</v>
      </c>
      <c r="C6" s="11">
        <v>111</v>
      </c>
      <c r="D6" s="11">
        <v>33</v>
      </c>
      <c r="E6" s="12">
        <f t="shared" si="0"/>
        <v>366000</v>
      </c>
      <c r="G6" s="15">
        <v>42154</v>
      </c>
    </row>
    <row r="7" spans="2:8" x14ac:dyDescent="0.25">
      <c r="B7" s="15">
        <v>42154</v>
      </c>
      <c r="C7" s="11">
        <v>78</v>
      </c>
      <c r="D7" s="11">
        <v>33</v>
      </c>
      <c r="E7" s="12">
        <f t="shared" si="0"/>
        <v>257000</v>
      </c>
      <c r="G7" s="15">
        <v>42154</v>
      </c>
    </row>
    <row r="8" spans="2:8" x14ac:dyDescent="0.25">
      <c r="B8" s="15">
        <v>42154</v>
      </c>
      <c r="C8" s="11">
        <v>38</v>
      </c>
      <c r="D8" s="11">
        <v>35</v>
      </c>
      <c r="E8" s="12">
        <f t="shared" si="0"/>
        <v>133000</v>
      </c>
      <c r="G8" s="15">
        <v>42154</v>
      </c>
    </row>
    <row r="9" spans="2:8" x14ac:dyDescent="0.25">
      <c r="B9" s="15">
        <v>42154</v>
      </c>
      <c r="C9" s="11">
        <v>440</v>
      </c>
      <c r="D9" s="11">
        <v>34</v>
      </c>
      <c r="E9" s="12">
        <f t="shared" si="0"/>
        <v>1496000</v>
      </c>
      <c r="G9" s="15">
        <v>42154</v>
      </c>
    </row>
    <row r="10" spans="2:8" x14ac:dyDescent="0.25">
      <c r="B10" s="15">
        <v>42154</v>
      </c>
      <c r="C10" s="11">
        <v>45</v>
      </c>
      <c r="D10" s="11">
        <v>33</v>
      </c>
      <c r="E10" s="12">
        <f>FLOOR(C10*D10/10*1000,1000)-2000</f>
        <v>146000</v>
      </c>
      <c r="F10" s="11">
        <v>2000</v>
      </c>
      <c r="G10" s="15">
        <v>42154</v>
      </c>
    </row>
    <row r="11" spans="2:8" x14ac:dyDescent="0.25">
      <c r="B11" s="15">
        <v>42154</v>
      </c>
      <c r="C11" s="11">
        <v>20</v>
      </c>
      <c r="D11" s="11">
        <v>33</v>
      </c>
      <c r="E11" s="12">
        <f>FLOOR(C11*D11/10*1000,1000)</f>
        <v>66000</v>
      </c>
      <c r="G11" s="15">
        <v>42154</v>
      </c>
    </row>
    <row r="12" spans="2:8" x14ac:dyDescent="0.25">
      <c r="B12" s="15">
        <v>42154</v>
      </c>
      <c r="C12" s="11">
        <v>232</v>
      </c>
      <c r="D12" s="11">
        <v>36</v>
      </c>
      <c r="E12" s="12">
        <f>FLOOR(C12*D12/10*1000,1000)</f>
        <v>835000</v>
      </c>
      <c r="G12" s="15">
        <v>42154</v>
      </c>
    </row>
    <row r="13" spans="2:8" x14ac:dyDescent="0.25">
      <c r="B13" s="15">
        <v>42154</v>
      </c>
      <c r="C13" s="11">
        <v>74</v>
      </c>
      <c r="D13" s="11">
        <v>38</v>
      </c>
      <c r="E13" s="12">
        <f>FLOOR(C13*D13/10*1000,1000)</f>
        <v>281000</v>
      </c>
      <c r="G13" s="15">
        <v>42154</v>
      </c>
    </row>
    <row r="14" spans="2:8" x14ac:dyDescent="0.25">
      <c r="B14" s="15">
        <v>42154</v>
      </c>
      <c r="C14" s="11">
        <v>26</v>
      </c>
      <c r="D14" s="11">
        <v>35</v>
      </c>
      <c r="E14" s="12">
        <f>FLOOR(C14*D14/10*1000,1000)</f>
        <v>91000</v>
      </c>
      <c r="G14" s="15">
        <v>42154</v>
      </c>
    </row>
    <row r="15" spans="2:8" x14ac:dyDescent="0.25">
      <c r="B15" s="15">
        <v>42154</v>
      </c>
      <c r="C15" s="11">
        <v>159</v>
      </c>
      <c r="D15" s="11">
        <v>36</v>
      </c>
      <c r="E15" s="12">
        <f>FLOOR(C15*D15/10*1000,1000)</f>
        <v>572000</v>
      </c>
      <c r="G15" s="15">
        <v>42154</v>
      </c>
    </row>
    <row r="16" spans="2:8" x14ac:dyDescent="0.25">
      <c r="B16" s="15"/>
      <c r="E16" s="17">
        <f>SUM(E3:E15,F3:F15)</f>
        <v>4624000</v>
      </c>
      <c r="G16" s="15"/>
    </row>
    <row r="17" spans="2:8" x14ac:dyDescent="0.25">
      <c r="B17" s="15">
        <v>42155</v>
      </c>
      <c r="C17" s="11">
        <v>112</v>
      </c>
      <c r="D17" s="11">
        <v>32</v>
      </c>
      <c r="E17" s="12">
        <f t="shared" ref="E17:E29" si="1">FLOOR(C17*D17/10*1000,1000)</f>
        <v>358000</v>
      </c>
      <c r="G17" s="15">
        <v>42155</v>
      </c>
    </row>
    <row r="18" spans="2:8" x14ac:dyDescent="0.25">
      <c r="B18" s="15">
        <v>42155</v>
      </c>
      <c r="C18" s="11">
        <v>304</v>
      </c>
      <c r="D18" s="11">
        <v>34</v>
      </c>
      <c r="E18" s="12">
        <f t="shared" si="1"/>
        <v>1033000</v>
      </c>
      <c r="G18" s="15">
        <v>42155</v>
      </c>
    </row>
    <row r="19" spans="2:8" x14ac:dyDescent="0.25">
      <c r="B19" s="15">
        <v>42155</v>
      </c>
      <c r="C19" s="11">
        <v>97</v>
      </c>
      <c r="D19" s="11">
        <v>33</v>
      </c>
      <c r="E19" s="12">
        <f t="shared" si="1"/>
        <v>320000</v>
      </c>
      <c r="G19" s="15">
        <v>42155</v>
      </c>
    </row>
    <row r="20" spans="2:8" x14ac:dyDescent="0.25">
      <c r="B20" s="15">
        <v>42155</v>
      </c>
      <c r="C20" s="11">
        <v>128</v>
      </c>
      <c r="D20" s="11">
        <v>37</v>
      </c>
      <c r="E20" s="12">
        <f t="shared" si="1"/>
        <v>473000</v>
      </c>
      <c r="G20" s="15">
        <v>42155</v>
      </c>
    </row>
    <row r="21" spans="2:8" x14ac:dyDescent="0.25">
      <c r="B21" s="15">
        <v>42155</v>
      </c>
      <c r="C21" s="11">
        <v>46</v>
      </c>
      <c r="D21" s="11">
        <v>32</v>
      </c>
      <c r="E21" s="12">
        <f t="shared" si="1"/>
        <v>147000</v>
      </c>
      <c r="G21" s="15">
        <v>42155</v>
      </c>
    </row>
    <row r="22" spans="2:8" x14ac:dyDescent="0.25">
      <c r="B22" s="15">
        <v>42155</v>
      </c>
      <c r="C22" s="11">
        <v>21</v>
      </c>
      <c r="D22" s="11">
        <v>33</v>
      </c>
      <c r="E22" s="12">
        <f t="shared" si="1"/>
        <v>69000</v>
      </c>
      <c r="G22" s="15">
        <v>42155</v>
      </c>
    </row>
    <row r="23" spans="2:8" x14ac:dyDescent="0.25">
      <c r="B23" s="15">
        <v>42155</v>
      </c>
      <c r="C23" s="11">
        <v>30</v>
      </c>
      <c r="D23" s="11">
        <v>39</v>
      </c>
      <c r="E23" s="12">
        <f t="shared" si="1"/>
        <v>117000</v>
      </c>
      <c r="G23" s="15">
        <v>42155</v>
      </c>
      <c r="H23" s="11" t="s">
        <v>13</v>
      </c>
    </row>
    <row r="24" spans="2:8" x14ac:dyDescent="0.25">
      <c r="B24" s="15">
        <v>42155</v>
      </c>
      <c r="C24" s="11">
        <v>137</v>
      </c>
      <c r="D24" s="11">
        <v>34</v>
      </c>
      <c r="E24" s="12">
        <f t="shared" si="1"/>
        <v>465000</v>
      </c>
      <c r="G24" s="15">
        <v>42155</v>
      </c>
    </row>
    <row r="25" spans="2:8" x14ac:dyDescent="0.25">
      <c r="B25" s="15">
        <v>42155</v>
      </c>
      <c r="C25" s="11">
        <v>300</v>
      </c>
      <c r="D25" s="11">
        <v>38</v>
      </c>
      <c r="E25" s="12">
        <f t="shared" si="1"/>
        <v>1140000</v>
      </c>
      <c r="G25" s="15">
        <v>42155</v>
      </c>
    </row>
    <row r="26" spans="2:8" x14ac:dyDescent="0.25">
      <c r="B26" s="15">
        <v>42155</v>
      </c>
      <c r="C26" s="11">
        <v>9</v>
      </c>
      <c r="D26" s="11">
        <v>36</v>
      </c>
      <c r="E26" s="12">
        <f t="shared" si="1"/>
        <v>32000</v>
      </c>
      <c r="G26" s="15">
        <v>42155</v>
      </c>
    </row>
    <row r="27" spans="2:8" x14ac:dyDescent="0.25">
      <c r="B27" s="15">
        <v>42158</v>
      </c>
      <c r="C27" s="11">
        <v>772</v>
      </c>
      <c r="D27" s="11">
        <v>32</v>
      </c>
      <c r="E27" s="12">
        <f t="shared" si="1"/>
        <v>2470000</v>
      </c>
      <c r="G27" s="15">
        <v>42155</v>
      </c>
    </row>
    <row r="28" spans="2:8" x14ac:dyDescent="0.25">
      <c r="B28" s="15">
        <v>42158</v>
      </c>
      <c r="C28" s="11">
        <v>50</v>
      </c>
      <c r="D28" s="11">
        <v>36</v>
      </c>
      <c r="E28" s="12">
        <f t="shared" si="1"/>
        <v>180000</v>
      </c>
      <c r="G28" s="15">
        <v>42155</v>
      </c>
    </row>
    <row r="29" spans="2:8" x14ac:dyDescent="0.25">
      <c r="B29" s="15">
        <v>42158</v>
      </c>
      <c r="C29" s="11">
        <v>80</v>
      </c>
      <c r="D29" s="11">
        <v>37</v>
      </c>
      <c r="E29" s="12">
        <f t="shared" si="1"/>
        <v>296000</v>
      </c>
      <c r="G29" s="15">
        <v>42155</v>
      </c>
    </row>
    <row r="30" spans="2:8" x14ac:dyDescent="0.25">
      <c r="B30" s="15"/>
      <c r="E30" s="17">
        <f>SUM(E17:E29)</f>
        <v>7100000</v>
      </c>
      <c r="G30" s="15"/>
    </row>
    <row r="31" spans="2:8" x14ac:dyDescent="0.25">
      <c r="B31" s="15">
        <v>42156</v>
      </c>
      <c r="C31" s="11">
        <v>30</v>
      </c>
      <c r="D31" s="11">
        <v>30</v>
      </c>
      <c r="E31" s="12">
        <f>FLOOR(C31*D31/10*1000,1000)</f>
        <v>90000</v>
      </c>
      <c r="G31" s="15">
        <v>42156</v>
      </c>
    </row>
    <row r="32" spans="2:8" x14ac:dyDescent="0.25">
      <c r="B32" s="15">
        <v>42156</v>
      </c>
      <c r="C32" s="11">
        <v>94</v>
      </c>
      <c r="D32" s="11">
        <v>34</v>
      </c>
      <c r="E32" s="12">
        <f>_xlfn.CEILING.MATH(C32*D32/10*1000,1000)</f>
        <v>320000</v>
      </c>
      <c r="G32" s="15">
        <v>42156</v>
      </c>
    </row>
    <row r="33" spans="2:7" x14ac:dyDescent="0.25">
      <c r="B33" s="15">
        <v>42156</v>
      </c>
      <c r="C33" s="11">
        <v>8</v>
      </c>
      <c r="D33" s="11">
        <v>30</v>
      </c>
      <c r="E33" s="12">
        <f t="shared" ref="E33:E51" si="2">FLOOR(C33*D33/10*1000,1000)</f>
        <v>24000</v>
      </c>
      <c r="G33" s="15">
        <v>42156</v>
      </c>
    </row>
    <row r="34" spans="2:7" x14ac:dyDescent="0.25">
      <c r="B34" s="15">
        <v>42156</v>
      </c>
      <c r="C34" s="11">
        <v>29</v>
      </c>
      <c r="D34" s="11">
        <v>32</v>
      </c>
      <c r="E34" s="12">
        <f t="shared" si="2"/>
        <v>92000</v>
      </c>
      <c r="G34" s="15">
        <v>42156</v>
      </c>
    </row>
    <row r="35" spans="2:7" x14ac:dyDescent="0.25">
      <c r="B35" s="15">
        <v>42156</v>
      </c>
      <c r="C35" s="11">
        <v>64</v>
      </c>
      <c r="D35" s="11">
        <v>32</v>
      </c>
      <c r="E35" s="12">
        <f t="shared" si="2"/>
        <v>204000</v>
      </c>
      <c r="G35" s="15">
        <v>42156</v>
      </c>
    </row>
    <row r="36" spans="2:7" x14ac:dyDescent="0.25">
      <c r="B36" s="15">
        <v>42156</v>
      </c>
      <c r="C36" s="11">
        <v>34</v>
      </c>
      <c r="D36" s="11">
        <v>32</v>
      </c>
      <c r="E36" s="12">
        <f t="shared" si="2"/>
        <v>108000</v>
      </c>
      <c r="G36" s="15">
        <v>42156</v>
      </c>
    </row>
    <row r="37" spans="2:7" x14ac:dyDescent="0.25">
      <c r="B37" s="15">
        <v>42156</v>
      </c>
      <c r="C37" s="11">
        <v>24</v>
      </c>
      <c r="D37" s="11">
        <v>30</v>
      </c>
      <c r="E37" s="12">
        <f t="shared" si="2"/>
        <v>72000</v>
      </c>
      <c r="G37" s="15">
        <v>42156</v>
      </c>
    </row>
    <row r="38" spans="2:7" x14ac:dyDescent="0.25">
      <c r="B38" s="15">
        <v>42156</v>
      </c>
      <c r="C38" s="11">
        <v>71</v>
      </c>
      <c r="D38" s="11">
        <v>30</v>
      </c>
      <c r="E38" s="12">
        <f t="shared" si="2"/>
        <v>213000</v>
      </c>
      <c r="G38" s="15">
        <v>42156</v>
      </c>
    </row>
    <row r="39" spans="2:7" x14ac:dyDescent="0.25">
      <c r="B39" s="15">
        <v>42156</v>
      </c>
      <c r="C39" s="11">
        <v>22</v>
      </c>
      <c r="D39" s="11">
        <v>31</v>
      </c>
      <c r="E39" s="12">
        <f t="shared" si="2"/>
        <v>68000</v>
      </c>
      <c r="G39" s="15">
        <v>42156</v>
      </c>
    </row>
    <row r="40" spans="2:7" x14ac:dyDescent="0.25">
      <c r="B40" s="15">
        <v>42156</v>
      </c>
      <c r="C40" s="11">
        <v>61</v>
      </c>
      <c r="D40" s="11">
        <v>32</v>
      </c>
      <c r="E40" s="12">
        <f t="shared" si="2"/>
        <v>195000</v>
      </c>
      <c r="G40" s="15">
        <v>42156</v>
      </c>
    </row>
    <row r="41" spans="2:7" x14ac:dyDescent="0.25">
      <c r="B41" s="15">
        <v>42156</v>
      </c>
      <c r="C41" s="11">
        <v>476</v>
      </c>
      <c r="D41" s="11">
        <v>31</v>
      </c>
      <c r="E41" s="12">
        <f t="shared" si="2"/>
        <v>1475000</v>
      </c>
      <c r="G41" s="15">
        <v>42156</v>
      </c>
    </row>
    <row r="42" spans="2:7" x14ac:dyDescent="0.25">
      <c r="B42" s="15">
        <v>42156</v>
      </c>
      <c r="C42" s="11">
        <v>45</v>
      </c>
      <c r="D42" s="11">
        <v>37</v>
      </c>
      <c r="E42" s="12">
        <f t="shared" si="2"/>
        <v>166000</v>
      </c>
      <c r="G42" s="15">
        <v>42156</v>
      </c>
    </row>
    <row r="43" spans="2:7" x14ac:dyDescent="0.25">
      <c r="B43" s="15">
        <v>42156</v>
      </c>
      <c r="C43" s="11">
        <v>277</v>
      </c>
      <c r="D43" s="11">
        <v>28</v>
      </c>
      <c r="E43" s="12">
        <f t="shared" si="2"/>
        <v>775000</v>
      </c>
      <c r="G43" s="15">
        <v>42156</v>
      </c>
    </row>
    <row r="44" spans="2:7" x14ac:dyDescent="0.25">
      <c r="B44" s="15">
        <v>42156</v>
      </c>
      <c r="C44" s="11">
        <v>23</v>
      </c>
      <c r="D44" s="11">
        <v>36</v>
      </c>
      <c r="E44" s="12">
        <f t="shared" si="2"/>
        <v>82000</v>
      </c>
      <c r="G44" s="15">
        <v>42156</v>
      </c>
    </row>
    <row r="45" spans="2:7" x14ac:dyDescent="0.25">
      <c r="B45" s="15">
        <v>42156</v>
      </c>
      <c r="C45" s="11">
        <v>79</v>
      </c>
      <c r="D45" s="11">
        <v>32</v>
      </c>
      <c r="E45" s="12">
        <f t="shared" si="2"/>
        <v>252000</v>
      </c>
      <c r="G45" s="15">
        <v>42156</v>
      </c>
    </row>
    <row r="46" spans="2:7" x14ac:dyDescent="0.25">
      <c r="B46" s="15">
        <v>42156</v>
      </c>
      <c r="C46" s="11">
        <v>138</v>
      </c>
      <c r="D46" s="11">
        <v>34</v>
      </c>
      <c r="E46" s="12">
        <f t="shared" si="2"/>
        <v>469000</v>
      </c>
      <c r="G46" s="15">
        <v>42156</v>
      </c>
    </row>
    <row r="47" spans="2:7" x14ac:dyDescent="0.25">
      <c r="B47" s="15">
        <v>42156</v>
      </c>
      <c r="C47" s="11">
        <v>183</v>
      </c>
      <c r="D47" s="11">
        <v>31</v>
      </c>
      <c r="E47" s="12">
        <f t="shared" si="2"/>
        <v>567000</v>
      </c>
      <c r="G47" s="15">
        <v>42156</v>
      </c>
    </row>
    <row r="48" spans="2:7" x14ac:dyDescent="0.25">
      <c r="B48" s="15">
        <v>42156</v>
      </c>
      <c r="C48" s="11">
        <v>313</v>
      </c>
      <c r="D48" s="11">
        <v>31</v>
      </c>
      <c r="E48" s="12">
        <f t="shared" si="2"/>
        <v>970000</v>
      </c>
      <c r="G48" s="15">
        <v>42156</v>
      </c>
    </row>
    <row r="49" spans="2:7" x14ac:dyDescent="0.25">
      <c r="B49" s="15">
        <v>42158</v>
      </c>
      <c r="C49" s="11">
        <v>59</v>
      </c>
      <c r="D49" s="11">
        <v>32</v>
      </c>
      <c r="E49" s="12">
        <f t="shared" si="2"/>
        <v>188000</v>
      </c>
      <c r="G49" s="15">
        <v>42156</v>
      </c>
    </row>
    <row r="50" spans="2:7" x14ac:dyDescent="0.25">
      <c r="B50" s="15">
        <v>42158</v>
      </c>
      <c r="C50" s="11">
        <v>30</v>
      </c>
      <c r="D50" s="11">
        <v>34</v>
      </c>
      <c r="E50" s="12">
        <f t="shared" si="2"/>
        <v>102000</v>
      </c>
      <c r="G50" s="15">
        <v>42156</v>
      </c>
    </row>
    <row r="51" spans="2:7" x14ac:dyDescent="0.25">
      <c r="B51" s="15">
        <v>42158</v>
      </c>
      <c r="C51" s="11">
        <v>175</v>
      </c>
      <c r="D51" s="11">
        <v>36</v>
      </c>
      <c r="E51" s="12">
        <f t="shared" si="2"/>
        <v>630000</v>
      </c>
      <c r="G51" s="15">
        <v>42156</v>
      </c>
    </row>
    <row r="52" spans="2:7" x14ac:dyDescent="0.25">
      <c r="B52" s="15"/>
      <c r="E52" s="17">
        <f>SUM(E31:E51)</f>
        <v>7062000</v>
      </c>
      <c r="G52" s="15"/>
    </row>
    <row r="53" spans="2:7" x14ac:dyDescent="0.25">
      <c r="B53" s="15">
        <v>42157</v>
      </c>
      <c r="C53" s="11">
        <v>71</v>
      </c>
      <c r="D53" s="11">
        <v>31</v>
      </c>
      <c r="E53" s="12">
        <f>FLOOR(C53*D53/10*1000,1000)</f>
        <v>220000</v>
      </c>
      <c r="G53" s="15">
        <v>42157</v>
      </c>
    </row>
    <row r="54" spans="2:7" x14ac:dyDescent="0.25">
      <c r="B54" s="15">
        <v>42157</v>
      </c>
      <c r="C54" s="11">
        <v>55</v>
      </c>
      <c r="D54" s="11">
        <v>32</v>
      </c>
      <c r="E54" s="12">
        <f>FLOOR(C54*D54/10*1000,1000)</f>
        <v>176000</v>
      </c>
      <c r="G54" s="15">
        <v>42157</v>
      </c>
    </row>
    <row r="55" spans="2:7" x14ac:dyDescent="0.25">
      <c r="B55" s="15">
        <v>42157</v>
      </c>
      <c r="C55" s="11">
        <v>22</v>
      </c>
      <c r="D55" s="11">
        <v>31</v>
      </c>
      <c r="E55" s="12">
        <f>FLOOR(C55*D55/10*1000,1000)</f>
        <v>68000</v>
      </c>
      <c r="G55" s="15">
        <v>42157</v>
      </c>
    </row>
    <row r="56" spans="2:7" x14ac:dyDescent="0.25">
      <c r="B56" s="15">
        <v>42157</v>
      </c>
      <c r="C56" s="11">
        <v>83</v>
      </c>
      <c r="D56" s="11">
        <v>30</v>
      </c>
      <c r="E56" s="12">
        <f>_xlfn.CEILING.MATH(C56*D56/10*1000,1000)+1000</f>
        <v>250000</v>
      </c>
      <c r="G56" s="15">
        <v>42157</v>
      </c>
    </row>
    <row r="57" spans="2:7" x14ac:dyDescent="0.25">
      <c r="B57" s="15">
        <v>42157</v>
      </c>
      <c r="C57" s="11">
        <v>102</v>
      </c>
      <c r="D57" s="11">
        <v>33</v>
      </c>
      <c r="E57" s="12">
        <f t="shared" ref="E57:E72" si="3">FLOOR(C57*D57/10*1000,1000)</f>
        <v>336000</v>
      </c>
      <c r="G57" s="15">
        <v>42157</v>
      </c>
    </row>
    <row r="58" spans="2:7" x14ac:dyDescent="0.25">
      <c r="B58" s="15">
        <v>42157</v>
      </c>
      <c r="C58" s="11">
        <v>20</v>
      </c>
      <c r="D58" s="11">
        <v>33</v>
      </c>
      <c r="E58" s="12">
        <f t="shared" si="3"/>
        <v>66000</v>
      </c>
      <c r="G58" s="15">
        <v>42157</v>
      </c>
    </row>
    <row r="59" spans="2:7" x14ac:dyDescent="0.25">
      <c r="B59" s="15">
        <v>42157</v>
      </c>
      <c r="C59" s="11">
        <v>30</v>
      </c>
      <c r="D59" s="11">
        <v>33</v>
      </c>
      <c r="E59" s="12">
        <f t="shared" si="3"/>
        <v>99000</v>
      </c>
      <c r="G59" s="15">
        <v>42157</v>
      </c>
    </row>
    <row r="60" spans="2:7" x14ac:dyDescent="0.25">
      <c r="B60" s="15">
        <v>42157</v>
      </c>
      <c r="C60" s="11">
        <v>48</v>
      </c>
      <c r="D60" s="11">
        <v>32</v>
      </c>
      <c r="E60" s="12">
        <f t="shared" si="3"/>
        <v>153000</v>
      </c>
      <c r="G60" s="15">
        <v>42157</v>
      </c>
    </row>
    <row r="61" spans="2:7" x14ac:dyDescent="0.25">
      <c r="B61" s="15">
        <v>42157</v>
      </c>
      <c r="C61" s="11">
        <v>42</v>
      </c>
      <c r="D61" s="11">
        <v>31</v>
      </c>
      <c r="E61" s="12">
        <f t="shared" si="3"/>
        <v>130000</v>
      </c>
      <c r="G61" s="15">
        <v>42157</v>
      </c>
    </row>
    <row r="62" spans="2:7" x14ac:dyDescent="0.25">
      <c r="B62" s="15">
        <v>42157</v>
      </c>
      <c r="C62" s="11">
        <v>32</v>
      </c>
      <c r="D62" s="11">
        <v>32</v>
      </c>
      <c r="E62" s="12">
        <f t="shared" si="3"/>
        <v>102000</v>
      </c>
      <c r="G62" s="15">
        <v>42157</v>
      </c>
    </row>
    <row r="63" spans="2:7" x14ac:dyDescent="0.25">
      <c r="B63" s="15">
        <v>42157</v>
      </c>
      <c r="C63" s="11">
        <v>21</v>
      </c>
      <c r="D63" s="11">
        <v>33</v>
      </c>
      <c r="E63" s="12">
        <f t="shared" si="3"/>
        <v>69000</v>
      </c>
      <c r="G63" s="15">
        <v>42157</v>
      </c>
    </row>
    <row r="64" spans="2:7" x14ac:dyDescent="0.25">
      <c r="B64" s="15">
        <v>42157</v>
      </c>
      <c r="C64" s="11">
        <v>66</v>
      </c>
      <c r="D64" s="11">
        <v>32</v>
      </c>
      <c r="E64" s="12">
        <f t="shared" si="3"/>
        <v>211000</v>
      </c>
      <c r="G64" s="15">
        <v>42157</v>
      </c>
    </row>
    <row r="65" spans="2:7" x14ac:dyDescent="0.25">
      <c r="B65" s="15">
        <v>42157</v>
      </c>
      <c r="C65" s="11">
        <v>38</v>
      </c>
      <c r="D65" s="11">
        <v>32</v>
      </c>
      <c r="E65" s="12">
        <f t="shared" si="3"/>
        <v>121000</v>
      </c>
      <c r="G65" s="15">
        <v>42157</v>
      </c>
    </row>
    <row r="66" spans="2:7" x14ac:dyDescent="0.25">
      <c r="B66" s="15">
        <v>42157</v>
      </c>
      <c r="C66" s="11">
        <v>83</v>
      </c>
      <c r="D66" s="11">
        <v>34</v>
      </c>
      <c r="E66" s="12">
        <f t="shared" si="3"/>
        <v>282000</v>
      </c>
      <c r="G66" s="15">
        <v>42157</v>
      </c>
    </row>
    <row r="67" spans="2:7" x14ac:dyDescent="0.25">
      <c r="B67" s="15">
        <v>42157</v>
      </c>
      <c r="C67" s="11">
        <v>53</v>
      </c>
      <c r="D67" s="11">
        <v>28</v>
      </c>
      <c r="E67" s="12">
        <f t="shared" si="3"/>
        <v>148000</v>
      </c>
      <c r="G67" s="15">
        <v>42157</v>
      </c>
    </row>
    <row r="68" spans="2:7" x14ac:dyDescent="0.25">
      <c r="B68" s="15">
        <v>42157</v>
      </c>
      <c r="C68" s="11">
        <v>21</v>
      </c>
      <c r="D68" s="11">
        <v>32</v>
      </c>
      <c r="E68" s="12">
        <f t="shared" si="3"/>
        <v>67000</v>
      </c>
      <c r="G68" s="15">
        <v>42157</v>
      </c>
    </row>
    <row r="69" spans="2:7" x14ac:dyDescent="0.25">
      <c r="B69" s="15">
        <v>42158</v>
      </c>
      <c r="C69" s="11">
        <v>472</v>
      </c>
      <c r="D69" s="11">
        <v>33</v>
      </c>
      <c r="E69" s="12">
        <f t="shared" si="3"/>
        <v>1557000</v>
      </c>
      <c r="G69" s="15">
        <v>42157</v>
      </c>
    </row>
    <row r="70" spans="2:7" x14ac:dyDescent="0.25">
      <c r="B70" s="15">
        <v>42158</v>
      </c>
      <c r="C70" s="11">
        <v>760</v>
      </c>
      <c r="D70" s="11">
        <v>31</v>
      </c>
      <c r="E70" s="12">
        <f t="shared" si="3"/>
        <v>2356000</v>
      </c>
      <c r="G70" s="15">
        <v>42157</v>
      </c>
    </row>
    <row r="71" spans="2:7" x14ac:dyDescent="0.25">
      <c r="B71" s="15">
        <v>42158</v>
      </c>
      <c r="C71" s="11">
        <v>210</v>
      </c>
      <c r="D71" s="11">
        <v>36</v>
      </c>
      <c r="E71" s="12">
        <f t="shared" si="3"/>
        <v>756000</v>
      </c>
      <c r="G71" s="15">
        <v>42157</v>
      </c>
    </row>
    <row r="72" spans="2:7" x14ac:dyDescent="0.25">
      <c r="B72" s="15">
        <v>42159</v>
      </c>
      <c r="C72" s="11">
        <v>113</v>
      </c>
      <c r="D72" s="11">
        <v>32</v>
      </c>
      <c r="E72" s="12">
        <f t="shared" si="3"/>
        <v>361000</v>
      </c>
      <c r="G72" s="15">
        <v>42157</v>
      </c>
    </row>
    <row r="73" spans="2:7" x14ac:dyDescent="0.25">
      <c r="B73" s="15"/>
      <c r="E73" s="17">
        <f>SUM(E53:E72)</f>
        <v>7528000</v>
      </c>
      <c r="G73" s="15"/>
    </row>
    <row r="74" spans="2:7" x14ac:dyDescent="0.25">
      <c r="B74" s="15">
        <v>42158</v>
      </c>
      <c r="C74" s="11">
        <v>99</v>
      </c>
      <c r="D74" s="11">
        <v>32</v>
      </c>
      <c r="E74" s="12">
        <f t="shared" ref="E74:E90" si="4">FLOOR(C74*D74/10*1000,1000)</f>
        <v>316000</v>
      </c>
      <c r="G74" s="15">
        <v>42158</v>
      </c>
    </row>
    <row r="75" spans="2:7" x14ac:dyDescent="0.25">
      <c r="B75" s="15">
        <v>42158</v>
      </c>
      <c r="C75" s="11">
        <v>167</v>
      </c>
      <c r="D75" s="11">
        <v>31</v>
      </c>
      <c r="E75" s="12">
        <f t="shared" si="4"/>
        <v>517000</v>
      </c>
      <c r="G75" s="15">
        <v>42158</v>
      </c>
    </row>
    <row r="76" spans="2:7" x14ac:dyDescent="0.25">
      <c r="B76" s="15">
        <v>42158</v>
      </c>
      <c r="C76" s="11">
        <v>22</v>
      </c>
      <c r="D76" s="11">
        <v>32</v>
      </c>
      <c r="E76" s="12">
        <f t="shared" si="4"/>
        <v>70000</v>
      </c>
      <c r="G76" s="15">
        <v>42158</v>
      </c>
    </row>
    <row r="77" spans="2:7" x14ac:dyDescent="0.25">
      <c r="B77" s="15">
        <v>42158</v>
      </c>
      <c r="C77" s="11">
        <v>20</v>
      </c>
      <c r="D77" s="11">
        <v>32</v>
      </c>
      <c r="E77" s="12">
        <f t="shared" si="4"/>
        <v>64000</v>
      </c>
      <c r="G77" s="15">
        <v>42158</v>
      </c>
    </row>
    <row r="78" spans="2:7" x14ac:dyDescent="0.25">
      <c r="B78" s="15">
        <v>42158</v>
      </c>
      <c r="C78" s="11">
        <v>20</v>
      </c>
      <c r="D78" s="11">
        <v>32</v>
      </c>
      <c r="E78" s="12">
        <f t="shared" si="4"/>
        <v>64000</v>
      </c>
      <c r="G78" s="15">
        <v>42158</v>
      </c>
    </row>
    <row r="79" spans="2:7" x14ac:dyDescent="0.25">
      <c r="B79" s="15">
        <v>42158</v>
      </c>
      <c r="C79" s="11">
        <v>100</v>
      </c>
      <c r="D79" s="11">
        <v>32</v>
      </c>
      <c r="E79" s="12">
        <f t="shared" si="4"/>
        <v>320000</v>
      </c>
      <c r="G79" s="15">
        <v>42158</v>
      </c>
    </row>
    <row r="80" spans="2:7" x14ac:dyDescent="0.25">
      <c r="B80" s="15">
        <v>42158</v>
      </c>
      <c r="C80" s="11">
        <v>36</v>
      </c>
      <c r="D80" s="11">
        <v>33</v>
      </c>
      <c r="E80" s="12">
        <f t="shared" si="4"/>
        <v>118000</v>
      </c>
      <c r="G80" s="15">
        <v>42158</v>
      </c>
    </row>
    <row r="81" spans="2:7" x14ac:dyDescent="0.25">
      <c r="B81" s="15">
        <v>42158</v>
      </c>
      <c r="C81" s="11">
        <v>39</v>
      </c>
      <c r="D81" s="11">
        <v>31</v>
      </c>
      <c r="E81" s="12">
        <f t="shared" si="4"/>
        <v>120000</v>
      </c>
      <c r="G81" s="15">
        <v>42158</v>
      </c>
    </row>
    <row r="82" spans="2:7" x14ac:dyDescent="0.25">
      <c r="B82" s="15">
        <v>42158</v>
      </c>
      <c r="C82" s="11">
        <v>42</v>
      </c>
      <c r="D82" s="11">
        <v>32</v>
      </c>
      <c r="E82" s="12">
        <f t="shared" si="4"/>
        <v>134000</v>
      </c>
      <c r="G82" s="15">
        <v>42158</v>
      </c>
    </row>
    <row r="83" spans="2:7" x14ac:dyDescent="0.25">
      <c r="B83" s="15">
        <v>42158</v>
      </c>
      <c r="C83" s="11">
        <v>98</v>
      </c>
      <c r="D83" s="11">
        <v>31</v>
      </c>
      <c r="E83" s="12">
        <f t="shared" si="4"/>
        <v>303000</v>
      </c>
      <c r="G83" s="15">
        <v>42158</v>
      </c>
    </row>
    <row r="84" spans="2:7" x14ac:dyDescent="0.25">
      <c r="B84" s="15">
        <v>42158</v>
      </c>
      <c r="C84" s="11">
        <v>14</v>
      </c>
      <c r="D84" s="11">
        <v>38</v>
      </c>
      <c r="E84" s="12">
        <f t="shared" si="4"/>
        <v>53000</v>
      </c>
      <c r="G84" s="15">
        <v>42158</v>
      </c>
    </row>
    <row r="85" spans="2:7" x14ac:dyDescent="0.25">
      <c r="B85" s="15">
        <v>42158</v>
      </c>
      <c r="C85" s="11">
        <v>59</v>
      </c>
      <c r="D85" s="11">
        <v>36</v>
      </c>
      <c r="E85" s="12">
        <f t="shared" si="4"/>
        <v>212000</v>
      </c>
      <c r="G85" s="15">
        <v>42158</v>
      </c>
    </row>
    <row r="86" spans="2:7" x14ac:dyDescent="0.25">
      <c r="B86" s="15">
        <v>42158</v>
      </c>
      <c r="C86" s="11">
        <v>17</v>
      </c>
      <c r="D86" s="11">
        <v>31</v>
      </c>
      <c r="E86" s="12">
        <f t="shared" si="4"/>
        <v>52000</v>
      </c>
      <c r="G86" s="15">
        <v>42158</v>
      </c>
    </row>
    <row r="87" spans="2:7" x14ac:dyDescent="0.25">
      <c r="B87" s="15">
        <v>42158</v>
      </c>
      <c r="C87" s="11">
        <v>114</v>
      </c>
      <c r="D87" s="11">
        <v>31</v>
      </c>
      <c r="E87" s="12">
        <f t="shared" si="4"/>
        <v>353000</v>
      </c>
      <c r="G87" s="15">
        <v>42158</v>
      </c>
    </row>
    <row r="88" spans="2:7" x14ac:dyDescent="0.25">
      <c r="B88" s="15">
        <v>42158</v>
      </c>
      <c r="C88" s="11">
        <v>345</v>
      </c>
      <c r="D88" s="11">
        <v>31</v>
      </c>
      <c r="E88" s="12">
        <f t="shared" si="4"/>
        <v>1069000</v>
      </c>
      <c r="G88" s="15">
        <v>42158</v>
      </c>
    </row>
    <row r="89" spans="2:7" x14ac:dyDescent="0.25">
      <c r="B89" s="15">
        <v>42158</v>
      </c>
      <c r="C89" s="11">
        <v>26</v>
      </c>
      <c r="D89" s="11">
        <v>33</v>
      </c>
      <c r="E89" s="12">
        <f t="shared" si="4"/>
        <v>85000</v>
      </c>
      <c r="G89" s="15">
        <v>42158</v>
      </c>
    </row>
    <row r="90" spans="2:7" x14ac:dyDescent="0.25">
      <c r="B90" s="15">
        <v>42158</v>
      </c>
      <c r="C90" s="11">
        <v>160</v>
      </c>
      <c r="D90" s="11">
        <v>36</v>
      </c>
      <c r="E90" s="12">
        <f t="shared" si="4"/>
        <v>576000</v>
      </c>
      <c r="G90" s="15">
        <v>42158</v>
      </c>
    </row>
    <row r="91" spans="2:7" x14ac:dyDescent="0.25">
      <c r="B91" s="15"/>
      <c r="E91" s="17">
        <f>SUM(E74:E90)</f>
        <v>4426000</v>
      </c>
      <c r="G91" s="15"/>
    </row>
    <row r="92" spans="2:7" x14ac:dyDescent="0.25">
      <c r="B92" s="15">
        <v>42159</v>
      </c>
      <c r="C92" s="11">
        <v>21</v>
      </c>
      <c r="D92" s="11">
        <v>32</v>
      </c>
      <c r="E92" s="12">
        <f t="shared" ref="E92:E102" si="5">FLOOR(C92*D92/10*1000,1000)</f>
        <v>67000</v>
      </c>
      <c r="G92" s="15">
        <v>42159</v>
      </c>
    </row>
    <row r="93" spans="2:7" x14ac:dyDescent="0.25">
      <c r="B93" s="15">
        <v>42159</v>
      </c>
      <c r="C93" s="11">
        <v>57</v>
      </c>
      <c r="D93" s="11">
        <v>32</v>
      </c>
      <c r="E93" s="12">
        <f t="shared" si="5"/>
        <v>182000</v>
      </c>
      <c r="G93" s="15">
        <v>42159</v>
      </c>
    </row>
    <row r="94" spans="2:7" x14ac:dyDescent="0.25">
      <c r="B94" s="15">
        <v>42159</v>
      </c>
      <c r="C94" s="11">
        <v>98</v>
      </c>
      <c r="D94" s="11">
        <v>31</v>
      </c>
      <c r="E94" s="12">
        <f t="shared" si="5"/>
        <v>303000</v>
      </c>
      <c r="G94" s="15">
        <v>42159</v>
      </c>
    </row>
    <row r="95" spans="2:7" x14ac:dyDescent="0.25">
      <c r="B95" s="15">
        <v>42159</v>
      </c>
      <c r="C95" s="11">
        <v>50</v>
      </c>
      <c r="D95" s="11">
        <v>31</v>
      </c>
      <c r="E95" s="12">
        <f t="shared" si="5"/>
        <v>155000</v>
      </c>
      <c r="G95" s="15">
        <v>42159</v>
      </c>
    </row>
    <row r="96" spans="2:7" x14ac:dyDescent="0.25">
      <c r="B96" s="15">
        <v>42159</v>
      </c>
      <c r="C96" s="11">
        <v>19</v>
      </c>
      <c r="D96" s="11">
        <v>32</v>
      </c>
      <c r="E96" s="12">
        <f t="shared" si="5"/>
        <v>60000</v>
      </c>
      <c r="G96" s="15">
        <v>42159</v>
      </c>
    </row>
    <row r="97" spans="2:8" x14ac:dyDescent="0.25">
      <c r="B97" s="15">
        <v>42159</v>
      </c>
      <c r="C97" s="11">
        <v>21</v>
      </c>
      <c r="D97" s="11">
        <v>33</v>
      </c>
      <c r="E97" s="12">
        <f t="shared" si="5"/>
        <v>69000</v>
      </c>
      <c r="G97" s="15">
        <v>42159</v>
      </c>
    </row>
    <row r="98" spans="2:8" x14ac:dyDescent="0.25">
      <c r="B98" s="15">
        <v>42160</v>
      </c>
      <c r="C98" s="11">
        <v>70</v>
      </c>
      <c r="D98" s="11">
        <v>34</v>
      </c>
      <c r="E98" s="12">
        <f t="shared" si="5"/>
        <v>238000</v>
      </c>
      <c r="G98" s="15">
        <v>42159</v>
      </c>
    </row>
    <row r="99" spans="2:8" x14ac:dyDescent="0.25">
      <c r="B99" s="15">
        <v>42160</v>
      </c>
      <c r="C99" s="11">
        <v>17</v>
      </c>
      <c r="D99" s="11">
        <v>32</v>
      </c>
      <c r="E99" s="12">
        <f t="shared" si="5"/>
        <v>54000</v>
      </c>
      <c r="G99" s="15">
        <v>42159</v>
      </c>
    </row>
    <row r="100" spans="2:8" x14ac:dyDescent="0.25">
      <c r="B100" s="15"/>
      <c r="C100" s="11">
        <v>153</v>
      </c>
      <c r="D100" s="11">
        <v>31</v>
      </c>
      <c r="E100" s="12">
        <f t="shared" si="5"/>
        <v>474000</v>
      </c>
      <c r="G100" s="15">
        <v>42159</v>
      </c>
      <c r="H100" s="11" t="s">
        <v>14</v>
      </c>
    </row>
    <row r="101" spans="2:8" x14ac:dyDescent="0.25">
      <c r="B101" s="15">
        <v>42162</v>
      </c>
      <c r="C101" s="11">
        <v>263</v>
      </c>
      <c r="D101" s="11">
        <v>31</v>
      </c>
      <c r="E101" s="12">
        <f t="shared" si="5"/>
        <v>815000</v>
      </c>
      <c r="G101" s="15">
        <v>42159</v>
      </c>
    </row>
    <row r="102" spans="2:8" x14ac:dyDescent="0.25">
      <c r="B102" s="15"/>
      <c r="C102" s="11">
        <v>1490</v>
      </c>
      <c r="D102" s="11">
        <v>32</v>
      </c>
      <c r="E102" s="12">
        <f t="shared" si="5"/>
        <v>4768000</v>
      </c>
      <c r="G102" s="15">
        <v>42159</v>
      </c>
      <c r="H102" s="11" t="s">
        <v>14</v>
      </c>
    </row>
    <row r="103" spans="2:8" x14ac:dyDescent="0.25">
      <c r="B103" s="15">
        <v>42160</v>
      </c>
      <c r="C103" s="11">
        <v>116</v>
      </c>
      <c r="D103" s="11">
        <v>31</v>
      </c>
      <c r="E103" s="12">
        <f>_xlfn.CEILING.MATH(C103*D103/10*1000,1000)</f>
        <v>360000</v>
      </c>
      <c r="G103" s="15">
        <v>42159</v>
      </c>
    </row>
    <row r="104" spans="2:8" x14ac:dyDescent="0.25">
      <c r="B104" s="15"/>
      <c r="E104" s="17">
        <f>SUM(E92:E103)</f>
        <v>7545000</v>
      </c>
      <c r="G104" s="15"/>
    </row>
    <row r="105" spans="2:8" x14ac:dyDescent="0.25">
      <c r="B105" s="15">
        <v>42160</v>
      </c>
      <c r="E105" s="12">
        <v>84000</v>
      </c>
      <c r="G105" s="15">
        <v>42160</v>
      </c>
    </row>
    <row r="106" spans="2:8" x14ac:dyDescent="0.25">
      <c r="B106" s="15">
        <v>42160</v>
      </c>
      <c r="C106" s="11">
        <v>37</v>
      </c>
      <c r="D106" s="11">
        <v>32</v>
      </c>
      <c r="E106" s="12">
        <f t="shared" ref="E106:E111" si="6">FLOOR(C106*D106/10*1000,1000)</f>
        <v>118000</v>
      </c>
      <c r="G106" s="15">
        <v>42160</v>
      </c>
    </row>
    <row r="107" spans="2:8" x14ac:dyDescent="0.25">
      <c r="B107" s="15">
        <v>42160</v>
      </c>
      <c r="C107" s="11">
        <v>30</v>
      </c>
      <c r="D107" s="11">
        <v>32</v>
      </c>
      <c r="E107" s="12">
        <f t="shared" si="6"/>
        <v>96000</v>
      </c>
      <c r="G107" s="15">
        <v>42160</v>
      </c>
    </row>
    <row r="108" spans="2:8" x14ac:dyDescent="0.25">
      <c r="B108" s="15">
        <v>42160</v>
      </c>
      <c r="C108" s="11">
        <v>54</v>
      </c>
      <c r="D108" s="11">
        <v>34</v>
      </c>
      <c r="E108" s="12">
        <f t="shared" si="6"/>
        <v>183000</v>
      </c>
      <c r="G108" s="15">
        <v>42160</v>
      </c>
    </row>
    <row r="109" spans="2:8" x14ac:dyDescent="0.25">
      <c r="B109" s="15">
        <v>42160</v>
      </c>
      <c r="C109" s="11">
        <v>22</v>
      </c>
      <c r="D109" s="11">
        <v>30</v>
      </c>
      <c r="E109" s="12">
        <f t="shared" si="6"/>
        <v>66000</v>
      </c>
      <c r="G109" s="15">
        <v>42160</v>
      </c>
    </row>
    <row r="110" spans="2:8" x14ac:dyDescent="0.25">
      <c r="B110" s="15">
        <v>42160</v>
      </c>
      <c r="C110" s="11">
        <v>45</v>
      </c>
      <c r="D110" s="11">
        <v>30</v>
      </c>
      <c r="E110" s="12">
        <f t="shared" si="6"/>
        <v>135000</v>
      </c>
      <c r="G110" s="15">
        <v>42160</v>
      </c>
    </row>
    <row r="111" spans="2:8" x14ac:dyDescent="0.25">
      <c r="B111" s="15">
        <v>42160</v>
      </c>
      <c r="C111" s="11">
        <v>22</v>
      </c>
      <c r="D111" s="11">
        <v>32</v>
      </c>
      <c r="E111" s="12">
        <f t="shared" si="6"/>
        <v>70000</v>
      </c>
      <c r="G111" s="15">
        <v>42160</v>
      </c>
    </row>
    <row r="112" spans="2:8" x14ac:dyDescent="0.25">
      <c r="B112" s="15">
        <v>42160</v>
      </c>
      <c r="C112" s="11">
        <v>18</v>
      </c>
      <c r="D112" s="11">
        <v>32</v>
      </c>
      <c r="E112" s="12">
        <f t="shared" ref="E112:E123" si="7">FLOOR(C112*D112/10*1000,1000)</f>
        <v>57000</v>
      </c>
      <c r="G112" s="15">
        <v>42160</v>
      </c>
    </row>
    <row r="113" spans="2:8" x14ac:dyDescent="0.25">
      <c r="B113" s="15">
        <v>42160</v>
      </c>
      <c r="C113" s="11">
        <v>100</v>
      </c>
      <c r="D113" s="11">
        <v>32</v>
      </c>
      <c r="E113" s="12">
        <f t="shared" si="7"/>
        <v>320000</v>
      </c>
      <c r="G113" s="15">
        <v>42160</v>
      </c>
    </row>
    <row r="114" spans="2:8" x14ac:dyDescent="0.25">
      <c r="B114" s="15">
        <v>42160</v>
      </c>
      <c r="C114" s="11">
        <v>61</v>
      </c>
      <c r="D114" s="11">
        <v>32</v>
      </c>
      <c r="E114" s="12">
        <f t="shared" si="7"/>
        <v>195000</v>
      </c>
      <c r="G114" s="15">
        <v>42160</v>
      </c>
    </row>
    <row r="115" spans="2:8" x14ac:dyDescent="0.25">
      <c r="B115" s="15">
        <v>42160</v>
      </c>
      <c r="C115" s="11">
        <v>8</v>
      </c>
      <c r="D115" s="11">
        <v>31</v>
      </c>
      <c r="E115" s="12">
        <f t="shared" si="7"/>
        <v>24000</v>
      </c>
      <c r="G115" s="15">
        <v>42160</v>
      </c>
    </row>
    <row r="116" spans="2:8" x14ac:dyDescent="0.25">
      <c r="B116" s="15">
        <v>42160</v>
      </c>
      <c r="C116" s="11">
        <v>78</v>
      </c>
      <c r="D116" s="11">
        <v>33</v>
      </c>
      <c r="E116" s="12">
        <f t="shared" si="7"/>
        <v>257000</v>
      </c>
      <c r="G116" s="15">
        <v>42160</v>
      </c>
    </row>
    <row r="117" spans="2:8" x14ac:dyDescent="0.25">
      <c r="B117" s="15">
        <v>42160</v>
      </c>
      <c r="C117" s="11">
        <v>72</v>
      </c>
      <c r="D117" s="11">
        <v>32</v>
      </c>
      <c r="E117" s="12">
        <f t="shared" si="7"/>
        <v>230000</v>
      </c>
      <c r="G117" s="15">
        <v>42160</v>
      </c>
    </row>
    <row r="118" spans="2:8" x14ac:dyDescent="0.25">
      <c r="B118" s="15">
        <v>42160</v>
      </c>
      <c r="C118" s="11">
        <v>58</v>
      </c>
      <c r="D118" s="11">
        <v>33</v>
      </c>
      <c r="E118" s="12">
        <f t="shared" si="7"/>
        <v>191000</v>
      </c>
      <c r="G118" s="15">
        <v>42160</v>
      </c>
    </row>
    <row r="119" spans="2:8" x14ac:dyDescent="0.25">
      <c r="B119" s="15">
        <v>42160</v>
      </c>
      <c r="C119" s="11">
        <v>15</v>
      </c>
      <c r="D119" s="11">
        <v>40</v>
      </c>
      <c r="E119" s="12">
        <f t="shared" si="7"/>
        <v>60000</v>
      </c>
      <c r="G119" s="15">
        <v>42160</v>
      </c>
    </row>
    <row r="120" spans="2:8" x14ac:dyDescent="0.25">
      <c r="B120" s="15">
        <v>42160</v>
      </c>
      <c r="C120" s="11">
        <v>39</v>
      </c>
      <c r="D120" s="11">
        <v>32</v>
      </c>
      <c r="E120" s="12">
        <f t="shared" si="7"/>
        <v>124000</v>
      </c>
      <c r="G120" s="15">
        <v>42160</v>
      </c>
    </row>
    <row r="121" spans="2:8" x14ac:dyDescent="0.25">
      <c r="B121" s="15">
        <v>42160</v>
      </c>
      <c r="C121" s="11">
        <v>211</v>
      </c>
      <c r="D121" s="11">
        <v>28</v>
      </c>
      <c r="E121" s="12">
        <f t="shared" si="7"/>
        <v>590000</v>
      </c>
      <c r="G121" s="15">
        <v>42160</v>
      </c>
    </row>
    <row r="122" spans="2:8" x14ac:dyDescent="0.25">
      <c r="B122" s="15">
        <v>42162</v>
      </c>
      <c r="C122" s="11">
        <v>741</v>
      </c>
      <c r="D122" s="11">
        <v>31</v>
      </c>
      <c r="E122" s="12">
        <f t="shared" si="7"/>
        <v>2297000</v>
      </c>
      <c r="G122" s="15">
        <v>42160</v>
      </c>
    </row>
    <row r="123" spans="2:8" x14ac:dyDescent="0.25">
      <c r="B123" s="15">
        <v>42162</v>
      </c>
      <c r="C123" s="11">
        <v>995</v>
      </c>
      <c r="D123" s="11">
        <v>32</v>
      </c>
      <c r="E123" s="12">
        <f t="shared" si="7"/>
        <v>3184000</v>
      </c>
      <c r="G123" s="15">
        <v>42160</v>
      </c>
    </row>
    <row r="124" spans="2:8" x14ac:dyDescent="0.25">
      <c r="B124" s="15"/>
      <c r="E124" s="17">
        <f>SUM(E105:E123,F105:F123)</f>
        <v>8281000</v>
      </c>
      <c r="G124" s="15"/>
    </row>
    <row r="125" spans="2:8" x14ac:dyDescent="0.25">
      <c r="B125" s="15">
        <v>42161</v>
      </c>
      <c r="C125" s="11">
        <v>54</v>
      </c>
      <c r="D125" s="11">
        <v>31</v>
      </c>
      <c r="E125" s="12">
        <f t="shared" ref="E125:E137" si="8">FLOOR(C125*D125/10*1000,1000)</f>
        <v>167000</v>
      </c>
      <c r="G125" s="15">
        <v>42161</v>
      </c>
      <c r="H125" s="11" t="s">
        <v>31</v>
      </c>
    </row>
    <row r="126" spans="2:8" x14ac:dyDescent="0.25">
      <c r="B126" s="15">
        <v>42161</v>
      </c>
      <c r="C126" s="11">
        <v>27</v>
      </c>
      <c r="D126" s="11">
        <v>31</v>
      </c>
      <c r="E126" s="12">
        <f t="shared" si="8"/>
        <v>83000</v>
      </c>
      <c r="G126" s="15">
        <v>42161</v>
      </c>
      <c r="H126" s="11" t="s">
        <v>31</v>
      </c>
    </row>
    <row r="127" spans="2:8" x14ac:dyDescent="0.25">
      <c r="B127" s="15">
        <v>42162</v>
      </c>
      <c r="C127" s="11">
        <v>575</v>
      </c>
      <c r="D127" s="11">
        <v>31</v>
      </c>
      <c r="E127" s="12">
        <f t="shared" si="8"/>
        <v>1782000</v>
      </c>
      <c r="G127" s="15">
        <v>42161</v>
      </c>
      <c r="H127" s="11" t="s">
        <v>31</v>
      </c>
    </row>
    <row r="128" spans="2:8" x14ac:dyDescent="0.25">
      <c r="B128" s="15">
        <v>42162</v>
      </c>
      <c r="C128" s="11">
        <v>47</v>
      </c>
      <c r="D128" s="11">
        <v>33</v>
      </c>
      <c r="E128" s="12">
        <f t="shared" si="8"/>
        <v>155000</v>
      </c>
      <c r="G128" s="15">
        <v>42162</v>
      </c>
      <c r="H128" s="11" t="s">
        <v>31</v>
      </c>
    </row>
    <row r="129" spans="2:8" x14ac:dyDescent="0.25">
      <c r="B129" s="15">
        <v>42162</v>
      </c>
      <c r="C129" s="11">
        <v>47</v>
      </c>
      <c r="D129" s="11">
        <v>32</v>
      </c>
      <c r="E129" s="12">
        <f t="shared" si="8"/>
        <v>150000</v>
      </c>
      <c r="G129" s="15">
        <v>42162</v>
      </c>
      <c r="H129" s="11" t="s">
        <v>31</v>
      </c>
    </row>
    <row r="130" spans="2:8" x14ac:dyDescent="0.25">
      <c r="B130" s="15">
        <v>42162</v>
      </c>
      <c r="C130" s="11">
        <v>20</v>
      </c>
      <c r="D130" s="11">
        <v>31</v>
      </c>
      <c r="E130" s="12">
        <f t="shared" si="8"/>
        <v>62000</v>
      </c>
      <c r="G130" s="15">
        <v>42162</v>
      </c>
      <c r="H130" s="11" t="s">
        <v>31</v>
      </c>
    </row>
    <row r="131" spans="2:8" x14ac:dyDescent="0.25">
      <c r="B131" s="15">
        <v>42162</v>
      </c>
      <c r="C131" s="11">
        <v>12</v>
      </c>
      <c r="D131" s="11">
        <v>31</v>
      </c>
      <c r="E131" s="12">
        <f t="shared" si="8"/>
        <v>37000</v>
      </c>
      <c r="G131" s="15">
        <v>42162</v>
      </c>
      <c r="H131" s="11" t="s">
        <v>31</v>
      </c>
    </row>
    <row r="132" spans="2:8" x14ac:dyDescent="0.25">
      <c r="B132" s="15">
        <v>42162</v>
      </c>
      <c r="C132" s="11">
        <v>60</v>
      </c>
      <c r="D132" s="11">
        <v>33</v>
      </c>
      <c r="E132" s="12">
        <f t="shared" si="8"/>
        <v>198000</v>
      </c>
      <c r="G132" s="15">
        <v>42162</v>
      </c>
      <c r="H132" s="11" t="s">
        <v>31</v>
      </c>
    </row>
    <row r="133" spans="2:8" x14ac:dyDescent="0.25">
      <c r="B133" s="15">
        <v>42162</v>
      </c>
      <c r="C133" s="11">
        <v>23</v>
      </c>
      <c r="D133" s="11">
        <v>32</v>
      </c>
      <c r="E133" s="12">
        <f t="shared" si="8"/>
        <v>73000</v>
      </c>
      <c r="G133" s="15">
        <v>42162</v>
      </c>
      <c r="H133" s="11" t="s">
        <v>31</v>
      </c>
    </row>
    <row r="134" spans="2:8" x14ac:dyDescent="0.25">
      <c r="B134" s="15">
        <v>42162</v>
      </c>
      <c r="C134" s="11">
        <v>25</v>
      </c>
      <c r="D134" s="11">
        <v>32</v>
      </c>
      <c r="E134" s="12">
        <f t="shared" si="8"/>
        <v>80000</v>
      </c>
      <c r="G134" s="15">
        <v>42162</v>
      </c>
      <c r="H134" s="11" t="s">
        <v>31</v>
      </c>
    </row>
    <row r="135" spans="2:8" x14ac:dyDescent="0.25">
      <c r="B135" s="15">
        <v>42162</v>
      </c>
      <c r="C135" s="11">
        <v>39</v>
      </c>
      <c r="D135" s="11">
        <v>32</v>
      </c>
      <c r="E135" s="12">
        <f t="shared" si="8"/>
        <v>124000</v>
      </c>
      <c r="G135" s="15">
        <v>42162</v>
      </c>
      <c r="H135" s="11" t="s">
        <v>31</v>
      </c>
    </row>
    <row r="136" spans="2:8" x14ac:dyDescent="0.25">
      <c r="B136" s="15">
        <v>42162</v>
      </c>
      <c r="C136" s="11">
        <v>61</v>
      </c>
      <c r="D136" s="11">
        <v>32</v>
      </c>
      <c r="E136" s="12">
        <f t="shared" si="8"/>
        <v>195000</v>
      </c>
      <c r="G136" s="15">
        <v>42162</v>
      </c>
      <c r="H136" s="11" t="s">
        <v>31</v>
      </c>
    </row>
    <row r="137" spans="2:8" x14ac:dyDescent="0.25">
      <c r="B137" s="15">
        <v>42162</v>
      </c>
      <c r="C137" s="11">
        <v>55</v>
      </c>
      <c r="D137" s="11">
        <v>33</v>
      </c>
      <c r="E137" s="12">
        <f t="shared" si="8"/>
        <v>181000</v>
      </c>
      <c r="G137" s="15">
        <v>42162</v>
      </c>
      <c r="H137" s="11" t="s">
        <v>31</v>
      </c>
    </row>
    <row r="138" spans="2:8" x14ac:dyDescent="0.25">
      <c r="B138" s="15">
        <v>42162</v>
      </c>
      <c r="C138" s="11">
        <v>53</v>
      </c>
      <c r="D138" s="11">
        <v>33</v>
      </c>
      <c r="E138" s="12">
        <f>_xlfn.CEILING.MATH(C138*D138/10*1000,1000)</f>
        <v>175000</v>
      </c>
      <c r="G138" s="15">
        <v>42162</v>
      </c>
      <c r="H138" s="11" t="s">
        <v>31</v>
      </c>
    </row>
    <row r="139" spans="2:8" x14ac:dyDescent="0.25">
      <c r="B139" s="15">
        <v>42162</v>
      </c>
      <c r="C139" s="11">
        <v>38</v>
      </c>
      <c r="D139" s="11">
        <v>31</v>
      </c>
      <c r="E139" s="12">
        <f>FLOOR(C139*D139/10*1000,1000)</f>
        <v>117000</v>
      </c>
      <c r="G139" s="15">
        <v>42162</v>
      </c>
      <c r="H139" s="11" t="s">
        <v>31</v>
      </c>
    </row>
    <row r="140" spans="2:8" x14ac:dyDescent="0.25">
      <c r="B140" s="15">
        <v>42162</v>
      </c>
      <c r="C140" s="11">
        <f>36+72</f>
        <v>108</v>
      </c>
      <c r="D140" s="11">
        <v>31</v>
      </c>
      <c r="E140" s="12">
        <f>FLOOR(C140*D140/10*1000,1000)</f>
        <v>334000</v>
      </c>
      <c r="G140" s="15">
        <v>42162</v>
      </c>
      <c r="H140" s="11" t="s">
        <v>31</v>
      </c>
    </row>
    <row r="141" spans="2:8" x14ac:dyDescent="0.25">
      <c r="B141" s="15">
        <v>42162</v>
      </c>
      <c r="C141" s="11">
        <v>570</v>
      </c>
      <c r="D141" s="11">
        <v>31</v>
      </c>
      <c r="E141" s="12">
        <f>FLOOR(C141*D141/10*1000,1000)</f>
        <v>1767000</v>
      </c>
      <c r="G141" s="15">
        <v>42162</v>
      </c>
      <c r="H141" s="11" t="s">
        <v>31</v>
      </c>
    </row>
    <row r="142" spans="2:8" x14ac:dyDescent="0.25">
      <c r="B142" s="15"/>
      <c r="E142" s="17">
        <f>SUM(E125:E141)</f>
        <v>5680000</v>
      </c>
      <c r="G142" s="15"/>
    </row>
    <row r="143" spans="2:8" x14ac:dyDescent="0.25">
      <c r="B143" s="15">
        <v>42163</v>
      </c>
      <c r="C143" s="11">
        <v>51</v>
      </c>
      <c r="D143" s="11">
        <v>32</v>
      </c>
      <c r="E143" s="12">
        <f t="shared" ref="E143:E155" si="9">FLOOR(C143*D143/10*1000,1000)</f>
        <v>163000</v>
      </c>
      <c r="G143" s="15">
        <v>42163</v>
      </c>
    </row>
    <row r="144" spans="2:8" x14ac:dyDescent="0.25">
      <c r="B144" s="15">
        <v>42163</v>
      </c>
      <c r="C144" s="11">
        <v>28</v>
      </c>
      <c r="D144" s="11">
        <v>32</v>
      </c>
      <c r="E144" s="12">
        <f t="shared" si="9"/>
        <v>89000</v>
      </c>
      <c r="G144" s="15">
        <v>42163</v>
      </c>
    </row>
    <row r="145" spans="2:8" x14ac:dyDescent="0.25">
      <c r="B145" s="15">
        <v>42163</v>
      </c>
      <c r="C145" s="11">
        <v>50</v>
      </c>
      <c r="D145" s="11">
        <v>32</v>
      </c>
      <c r="E145" s="12">
        <f t="shared" si="9"/>
        <v>160000</v>
      </c>
      <c r="F145" s="11">
        <v>6000</v>
      </c>
      <c r="G145" s="15">
        <v>42163</v>
      </c>
    </row>
    <row r="146" spans="2:8" x14ac:dyDescent="0.25">
      <c r="B146" s="15">
        <v>42163</v>
      </c>
      <c r="C146" s="11">
        <v>103</v>
      </c>
      <c r="D146" s="11">
        <v>31</v>
      </c>
      <c r="E146" s="12">
        <f t="shared" si="9"/>
        <v>319000</v>
      </c>
      <c r="G146" s="15">
        <v>42163</v>
      </c>
      <c r="H146" s="11" t="s">
        <v>32</v>
      </c>
    </row>
    <row r="147" spans="2:8" x14ac:dyDescent="0.25">
      <c r="B147" s="15">
        <v>42163</v>
      </c>
      <c r="C147" s="11">
        <v>43</v>
      </c>
      <c r="D147" s="11">
        <v>32</v>
      </c>
      <c r="E147" s="12">
        <f t="shared" si="9"/>
        <v>137000</v>
      </c>
      <c r="G147" s="15">
        <v>42163</v>
      </c>
    </row>
    <row r="148" spans="2:8" x14ac:dyDescent="0.25">
      <c r="B148" s="15">
        <v>42163</v>
      </c>
      <c r="C148" s="11">
        <v>43</v>
      </c>
      <c r="D148" s="11">
        <v>31</v>
      </c>
      <c r="E148" s="12">
        <f t="shared" si="9"/>
        <v>133000</v>
      </c>
      <c r="G148" s="15">
        <v>42163</v>
      </c>
    </row>
    <row r="149" spans="2:8" x14ac:dyDescent="0.25">
      <c r="B149" s="15">
        <v>42163</v>
      </c>
      <c r="C149" s="11">
        <v>34</v>
      </c>
      <c r="D149" s="11">
        <v>32</v>
      </c>
      <c r="E149" s="12">
        <f t="shared" si="9"/>
        <v>108000</v>
      </c>
      <c r="G149" s="15">
        <v>42163</v>
      </c>
    </row>
    <row r="150" spans="2:8" x14ac:dyDescent="0.25">
      <c r="B150" s="15">
        <v>42163</v>
      </c>
      <c r="C150" s="11">
        <v>58</v>
      </c>
      <c r="D150" s="11">
        <v>32</v>
      </c>
      <c r="E150" s="12">
        <f t="shared" si="9"/>
        <v>185000</v>
      </c>
      <c r="G150" s="15">
        <v>42163</v>
      </c>
    </row>
    <row r="151" spans="2:8" x14ac:dyDescent="0.25">
      <c r="B151" s="15">
        <v>42163</v>
      </c>
      <c r="C151" s="11">
        <v>45</v>
      </c>
      <c r="D151" s="11">
        <v>31</v>
      </c>
      <c r="E151" s="12">
        <f t="shared" si="9"/>
        <v>139000</v>
      </c>
      <c r="G151" s="15">
        <v>42163</v>
      </c>
    </row>
    <row r="152" spans="2:8" x14ac:dyDescent="0.25">
      <c r="B152" s="15">
        <v>42163</v>
      </c>
      <c r="C152" s="11">
        <v>85</v>
      </c>
      <c r="D152" s="11">
        <v>32</v>
      </c>
      <c r="E152" s="12">
        <f t="shared" si="9"/>
        <v>272000</v>
      </c>
      <c r="G152" s="15">
        <v>42163</v>
      </c>
    </row>
    <row r="153" spans="2:8" x14ac:dyDescent="0.25">
      <c r="B153" s="15">
        <v>42163</v>
      </c>
      <c r="C153" s="11">
        <v>49</v>
      </c>
      <c r="D153" s="11">
        <v>32</v>
      </c>
      <c r="E153" s="12">
        <f t="shared" si="9"/>
        <v>156000</v>
      </c>
      <c r="G153" s="15">
        <v>42163</v>
      </c>
    </row>
    <row r="154" spans="2:8" x14ac:dyDescent="0.25">
      <c r="B154" s="15">
        <v>42163</v>
      </c>
      <c r="C154" s="11">
        <v>25</v>
      </c>
      <c r="D154" s="11">
        <v>32</v>
      </c>
      <c r="E154" s="12">
        <f t="shared" si="9"/>
        <v>80000</v>
      </c>
      <c r="G154" s="15">
        <v>42163</v>
      </c>
    </row>
    <row r="155" spans="2:8" x14ac:dyDescent="0.25">
      <c r="B155" s="15">
        <v>42163</v>
      </c>
      <c r="C155" s="11">
        <v>66</v>
      </c>
      <c r="D155" s="11">
        <v>33</v>
      </c>
      <c r="E155" s="12">
        <f t="shared" si="9"/>
        <v>217000</v>
      </c>
      <c r="G155" s="15">
        <v>42163</v>
      </c>
    </row>
    <row r="156" spans="2:8" x14ac:dyDescent="0.25">
      <c r="B156" s="15">
        <v>42163</v>
      </c>
      <c r="C156" s="11">
        <v>306</v>
      </c>
      <c r="D156" s="11">
        <v>31</v>
      </c>
      <c r="E156" s="12">
        <f>_xlfn.CEILING.MATH(C156*D156/10*1000,1000)+1000</f>
        <v>950000</v>
      </c>
      <c r="G156" s="15">
        <v>42163</v>
      </c>
    </row>
    <row r="157" spans="2:8" x14ac:dyDescent="0.25">
      <c r="B157" s="15"/>
      <c r="E157" s="17">
        <f>SUM(E143:F156)-319000</f>
        <v>2795000</v>
      </c>
      <c r="G157" s="15"/>
    </row>
    <row r="158" spans="2:8" x14ac:dyDescent="0.25">
      <c r="B158" s="15">
        <v>42164</v>
      </c>
      <c r="C158" s="11">
        <v>17</v>
      </c>
      <c r="D158" s="11">
        <v>31</v>
      </c>
      <c r="E158" s="12">
        <f t="shared" ref="E158:E166" si="10">FLOOR(C158*D158/10*1000,1000)</f>
        <v>52000</v>
      </c>
      <c r="G158" s="15">
        <v>42164</v>
      </c>
    </row>
    <row r="159" spans="2:8" x14ac:dyDescent="0.25">
      <c r="B159" s="15">
        <v>42164</v>
      </c>
      <c r="C159" s="11">
        <v>36</v>
      </c>
      <c r="D159" s="11">
        <v>31</v>
      </c>
      <c r="E159" s="12">
        <f t="shared" si="10"/>
        <v>111000</v>
      </c>
      <c r="G159" s="15">
        <v>42164</v>
      </c>
    </row>
    <row r="160" spans="2:8" x14ac:dyDescent="0.25">
      <c r="B160" s="15">
        <v>42164</v>
      </c>
      <c r="C160" s="11">
        <v>30</v>
      </c>
      <c r="D160" s="11">
        <v>31</v>
      </c>
      <c r="E160" s="12">
        <f t="shared" si="10"/>
        <v>93000</v>
      </c>
      <c r="G160" s="15">
        <v>42164</v>
      </c>
    </row>
    <row r="161" spans="2:8" x14ac:dyDescent="0.25">
      <c r="B161" s="15">
        <v>42164</v>
      </c>
      <c r="C161" s="11">
        <v>30</v>
      </c>
      <c r="D161" s="11">
        <v>31</v>
      </c>
      <c r="E161" s="12">
        <f t="shared" si="10"/>
        <v>93000</v>
      </c>
      <c r="G161" s="15">
        <v>42164</v>
      </c>
    </row>
    <row r="162" spans="2:8" x14ac:dyDescent="0.25">
      <c r="B162" s="15">
        <v>42164</v>
      </c>
      <c r="C162" s="11">
        <v>32</v>
      </c>
      <c r="D162" s="11">
        <v>32</v>
      </c>
      <c r="E162" s="12">
        <f t="shared" si="10"/>
        <v>102000</v>
      </c>
      <c r="G162" s="15">
        <v>42164</v>
      </c>
    </row>
    <row r="163" spans="2:8" x14ac:dyDescent="0.25">
      <c r="B163" s="15">
        <v>42164</v>
      </c>
      <c r="C163" s="11">
        <v>55</v>
      </c>
      <c r="D163" s="11">
        <v>32</v>
      </c>
      <c r="E163" s="12">
        <f t="shared" si="10"/>
        <v>176000</v>
      </c>
      <c r="G163" s="15">
        <v>42164</v>
      </c>
    </row>
    <row r="164" spans="2:8" x14ac:dyDescent="0.25">
      <c r="B164" s="15">
        <v>42164</v>
      </c>
      <c r="C164" s="11">
        <v>49</v>
      </c>
      <c r="D164" s="11">
        <v>32</v>
      </c>
      <c r="E164" s="12">
        <f t="shared" si="10"/>
        <v>156000</v>
      </c>
      <c r="G164" s="15">
        <v>42164</v>
      </c>
    </row>
    <row r="165" spans="2:8" x14ac:dyDescent="0.25">
      <c r="B165" s="15">
        <v>42164</v>
      </c>
      <c r="C165" s="11">
        <v>43</v>
      </c>
      <c r="D165" s="11">
        <v>34</v>
      </c>
      <c r="E165" s="12">
        <f t="shared" si="10"/>
        <v>146000</v>
      </c>
      <c r="G165" s="15">
        <v>42164</v>
      </c>
    </row>
    <row r="166" spans="2:8" x14ac:dyDescent="0.25">
      <c r="B166" s="15">
        <v>42164</v>
      </c>
      <c r="C166" s="11">
        <v>38</v>
      </c>
      <c r="D166" s="11">
        <v>34</v>
      </c>
      <c r="E166" s="12">
        <f t="shared" si="10"/>
        <v>129000</v>
      </c>
      <c r="G166" s="15">
        <v>42164</v>
      </c>
    </row>
    <row r="167" spans="2:8" x14ac:dyDescent="0.25">
      <c r="B167" s="15">
        <v>42164</v>
      </c>
      <c r="C167" s="11">
        <v>15</v>
      </c>
      <c r="D167" s="11">
        <v>33</v>
      </c>
      <c r="E167" s="12">
        <f>_xlfn.CEILING.MATH(C167*D167/10*1000,1000)</f>
        <v>50000</v>
      </c>
      <c r="G167" s="15">
        <v>42164</v>
      </c>
    </row>
    <row r="168" spans="2:8" x14ac:dyDescent="0.25">
      <c r="B168" s="15">
        <v>42164</v>
      </c>
      <c r="C168" s="11">
        <v>77</v>
      </c>
      <c r="D168" s="11">
        <v>32</v>
      </c>
      <c r="E168" s="12">
        <f>FLOOR(C168*D168/10*1000,1000)</f>
        <v>246000</v>
      </c>
      <c r="G168" s="15">
        <v>42164</v>
      </c>
    </row>
    <row r="169" spans="2:8" x14ac:dyDescent="0.25">
      <c r="B169" s="15">
        <v>42164</v>
      </c>
      <c r="C169" s="11">
        <v>37</v>
      </c>
      <c r="D169" s="11">
        <v>30</v>
      </c>
      <c r="E169" s="12">
        <f>FLOOR(C169*D169/10*1000,1000)</f>
        <v>111000</v>
      </c>
      <c r="G169" s="15">
        <v>42164</v>
      </c>
    </row>
    <row r="170" spans="2:8" x14ac:dyDescent="0.25">
      <c r="B170" s="15">
        <v>42164</v>
      </c>
      <c r="C170" s="11">
        <v>90</v>
      </c>
      <c r="D170" s="11">
        <v>35</v>
      </c>
      <c r="E170" s="12">
        <f>FLOOR(C170*D170/10*1000,1000)</f>
        <v>315000</v>
      </c>
      <c r="G170" s="15">
        <v>42164</v>
      </c>
    </row>
    <row r="171" spans="2:8" x14ac:dyDescent="0.25">
      <c r="B171" s="15">
        <v>42164</v>
      </c>
      <c r="C171" s="11">
        <v>189</v>
      </c>
      <c r="D171" s="11">
        <v>31</v>
      </c>
      <c r="E171" s="12">
        <f>_xlfn.CEILING.MATH(C171*D171/10*1000,1000)</f>
        <v>586000</v>
      </c>
      <c r="G171" s="15">
        <v>42164</v>
      </c>
    </row>
    <row r="172" spans="2:8" x14ac:dyDescent="0.25">
      <c r="B172" s="15"/>
      <c r="C172" s="11">
        <v>24</v>
      </c>
      <c r="E172" s="12">
        <v>55000</v>
      </c>
      <c r="G172" s="15">
        <v>42164</v>
      </c>
      <c r="H172" s="11" t="s">
        <v>14</v>
      </c>
    </row>
    <row r="173" spans="2:8" x14ac:dyDescent="0.25">
      <c r="B173" s="15">
        <v>42164</v>
      </c>
      <c r="C173" s="11">
        <v>33</v>
      </c>
      <c r="D173" s="11">
        <v>33</v>
      </c>
      <c r="E173" s="12">
        <f>_xlfn.CEILING.MATH(C173*D173/10*1000,1000)</f>
        <v>109000</v>
      </c>
      <c r="G173" s="15">
        <v>42164</v>
      </c>
    </row>
    <row r="174" spans="2:8" x14ac:dyDescent="0.25">
      <c r="B174" s="15">
        <v>42166</v>
      </c>
      <c r="C174" s="11">
        <v>310</v>
      </c>
      <c r="D174" s="11">
        <v>34</v>
      </c>
      <c r="E174" s="12">
        <f>FLOOR(C174*D174/10*1000,1000)</f>
        <v>1054000</v>
      </c>
      <c r="G174" s="15">
        <v>42164</v>
      </c>
    </row>
    <row r="175" spans="2:8" x14ac:dyDescent="0.25">
      <c r="B175" s="15"/>
      <c r="E175" s="17">
        <f>SUM(E158:E174)</f>
        <v>3584000</v>
      </c>
      <c r="G175" s="15"/>
    </row>
    <row r="176" spans="2:8" x14ac:dyDescent="0.25">
      <c r="B176" s="15">
        <v>42165</v>
      </c>
      <c r="C176" s="11">
        <v>36</v>
      </c>
      <c r="D176" s="11">
        <v>34</v>
      </c>
      <c r="E176" s="12">
        <f>FLOOR(C176*D176/10*1000,1000)</f>
        <v>122000</v>
      </c>
      <c r="G176" s="15">
        <v>42165</v>
      </c>
    </row>
    <row r="177" spans="2:7" x14ac:dyDescent="0.25">
      <c r="B177" s="15">
        <v>42165</v>
      </c>
      <c r="C177" s="11">
        <v>28</v>
      </c>
      <c r="D177" s="11">
        <v>32</v>
      </c>
      <c r="E177" s="12">
        <f>_xlfn.CEILING.MATH(C177*D177/10*1000,1000)</f>
        <v>90000</v>
      </c>
      <c r="G177" s="15">
        <v>42165</v>
      </c>
    </row>
    <row r="178" spans="2:7" x14ac:dyDescent="0.25">
      <c r="B178" s="15">
        <v>42165</v>
      </c>
      <c r="C178" s="11">
        <v>20</v>
      </c>
      <c r="D178" s="11">
        <v>33</v>
      </c>
      <c r="E178" s="12">
        <f t="shared" ref="E178:E188" si="11">FLOOR(C178*D178/10*1000,1000)</f>
        <v>66000</v>
      </c>
      <c r="G178" s="15">
        <v>42165</v>
      </c>
    </row>
    <row r="179" spans="2:7" x14ac:dyDescent="0.25">
      <c r="B179" s="15">
        <v>42165</v>
      </c>
      <c r="C179" s="11">
        <v>40</v>
      </c>
      <c r="D179" s="11">
        <v>31</v>
      </c>
      <c r="E179" s="12">
        <f t="shared" si="11"/>
        <v>124000</v>
      </c>
      <c r="G179" s="15">
        <v>42165</v>
      </c>
    </row>
    <row r="180" spans="2:7" x14ac:dyDescent="0.25">
      <c r="B180" s="15">
        <v>42165</v>
      </c>
      <c r="C180" s="11">
        <v>22</v>
      </c>
      <c r="D180" s="11">
        <v>38</v>
      </c>
      <c r="E180" s="12">
        <f t="shared" si="11"/>
        <v>83000</v>
      </c>
      <c r="G180" s="15">
        <v>42165</v>
      </c>
    </row>
    <row r="181" spans="2:7" x14ac:dyDescent="0.25">
      <c r="B181" s="15">
        <v>42165</v>
      </c>
      <c r="C181" s="11">
        <v>22</v>
      </c>
      <c r="D181" s="11">
        <v>33</v>
      </c>
      <c r="E181" s="12">
        <f t="shared" si="11"/>
        <v>72000</v>
      </c>
      <c r="G181" s="15">
        <v>42165</v>
      </c>
    </row>
    <row r="182" spans="2:7" x14ac:dyDescent="0.25">
      <c r="B182" s="15">
        <v>42165</v>
      </c>
      <c r="C182" s="11">
        <v>14</v>
      </c>
      <c r="D182" s="11">
        <v>30</v>
      </c>
      <c r="E182" s="12">
        <f t="shared" si="11"/>
        <v>42000</v>
      </c>
      <c r="G182" s="15">
        <v>42165</v>
      </c>
    </row>
    <row r="183" spans="2:7" x14ac:dyDescent="0.25">
      <c r="B183" s="15">
        <v>42165</v>
      </c>
      <c r="C183" s="11">
        <v>24</v>
      </c>
      <c r="D183" s="11">
        <v>32</v>
      </c>
      <c r="E183" s="12">
        <f t="shared" si="11"/>
        <v>76000</v>
      </c>
      <c r="G183" s="15">
        <v>42165</v>
      </c>
    </row>
    <row r="184" spans="2:7" x14ac:dyDescent="0.25">
      <c r="B184" s="15">
        <v>42165</v>
      </c>
      <c r="C184" s="11">
        <v>650</v>
      </c>
      <c r="D184" s="11">
        <v>32</v>
      </c>
      <c r="E184" s="12">
        <f t="shared" si="11"/>
        <v>2080000</v>
      </c>
      <c r="G184" s="15">
        <v>42165</v>
      </c>
    </row>
    <row r="185" spans="2:7" x14ac:dyDescent="0.25">
      <c r="B185" s="15">
        <v>42165</v>
      </c>
      <c r="C185" s="11">
        <v>27</v>
      </c>
      <c r="D185" s="11">
        <v>35</v>
      </c>
      <c r="E185" s="12">
        <f t="shared" si="11"/>
        <v>94000</v>
      </c>
      <c r="G185" s="15">
        <v>42165</v>
      </c>
    </row>
    <row r="186" spans="2:7" x14ac:dyDescent="0.25">
      <c r="B186" s="15">
        <v>42165</v>
      </c>
      <c r="C186" s="11">
        <v>21</v>
      </c>
      <c r="D186" s="11">
        <v>33</v>
      </c>
      <c r="E186" s="12">
        <f t="shared" si="11"/>
        <v>69000</v>
      </c>
      <c r="G186" s="15">
        <v>42165</v>
      </c>
    </row>
    <row r="187" spans="2:7" x14ac:dyDescent="0.25">
      <c r="B187" s="15">
        <v>42165</v>
      </c>
      <c r="C187" s="11">
        <v>46</v>
      </c>
      <c r="D187" s="11">
        <v>32</v>
      </c>
      <c r="E187" s="12">
        <f t="shared" si="11"/>
        <v>147000</v>
      </c>
      <c r="G187" s="15">
        <v>42165</v>
      </c>
    </row>
    <row r="188" spans="2:7" x14ac:dyDescent="0.25">
      <c r="B188" s="15">
        <v>42165</v>
      </c>
      <c r="C188" s="11">
        <v>55</v>
      </c>
      <c r="D188" s="11">
        <v>33</v>
      </c>
      <c r="E188" s="12">
        <f t="shared" si="11"/>
        <v>181000</v>
      </c>
      <c r="G188" s="15">
        <v>42165</v>
      </c>
    </row>
    <row r="189" spans="2:7" x14ac:dyDescent="0.25">
      <c r="B189" s="15"/>
      <c r="C189" s="11">
        <v>94</v>
      </c>
      <c r="D189" s="11">
        <v>32</v>
      </c>
      <c r="E189" s="12">
        <f t="shared" ref="E189:E191" si="12">FLOOR(C189*D189/10*1000,1000)</f>
        <v>300000</v>
      </c>
      <c r="F189" s="12">
        <v>-4000</v>
      </c>
      <c r="G189" s="15">
        <v>42165</v>
      </c>
    </row>
    <row r="190" spans="2:7" x14ac:dyDescent="0.25">
      <c r="B190" s="15"/>
      <c r="C190" s="11">
        <v>16</v>
      </c>
      <c r="D190" s="11">
        <v>32</v>
      </c>
      <c r="E190" s="12">
        <f t="shared" si="12"/>
        <v>51000</v>
      </c>
      <c r="G190" s="15">
        <v>42165</v>
      </c>
    </row>
    <row r="191" spans="2:7" x14ac:dyDescent="0.25">
      <c r="B191" s="15"/>
      <c r="C191" s="11">
        <v>5</v>
      </c>
      <c r="D191" s="11">
        <v>32</v>
      </c>
      <c r="E191" s="12">
        <f t="shared" si="12"/>
        <v>16000</v>
      </c>
      <c r="G191" s="15">
        <v>42165</v>
      </c>
    </row>
    <row r="192" spans="2:7" x14ac:dyDescent="0.25">
      <c r="B192" s="15"/>
      <c r="C192" s="11">
        <f>SUM(C176:C191)</f>
        <v>1120</v>
      </c>
      <c r="E192" s="17">
        <f>SUM(E176:E191,F176:F191)</f>
        <v>3609000</v>
      </c>
      <c r="G192" s="15"/>
    </row>
    <row r="193" spans="2:7" x14ac:dyDescent="0.25">
      <c r="B193" s="15">
        <v>42166</v>
      </c>
      <c r="C193" s="11">
        <v>31</v>
      </c>
      <c r="D193" s="11">
        <v>31</v>
      </c>
      <c r="E193" s="12">
        <f t="shared" ref="E193:E204" si="13">FLOOR(C193*D193/10*1000,1000)</f>
        <v>96000</v>
      </c>
      <c r="G193" s="15">
        <v>42166</v>
      </c>
    </row>
    <row r="194" spans="2:7" x14ac:dyDescent="0.25">
      <c r="B194" s="15">
        <v>42166</v>
      </c>
      <c r="C194" s="11">
        <v>234</v>
      </c>
      <c r="D194" s="11">
        <v>36</v>
      </c>
      <c r="E194" s="12">
        <f t="shared" si="13"/>
        <v>842000</v>
      </c>
      <c r="G194" s="15">
        <v>42166</v>
      </c>
    </row>
    <row r="195" spans="2:7" x14ac:dyDescent="0.25">
      <c r="B195" s="15">
        <v>42166</v>
      </c>
      <c r="C195" s="11">
        <v>50</v>
      </c>
      <c r="D195" s="11">
        <v>40</v>
      </c>
      <c r="E195" s="12">
        <f t="shared" si="13"/>
        <v>200000</v>
      </c>
      <c r="G195" s="15">
        <v>42166</v>
      </c>
    </row>
    <row r="196" spans="2:7" x14ac:dyDescent="0.25">
      <c r="B196" s="15">
        <v>42166</v>
      </c>
      <c r="C196" s="11">
        <v>25</v>
      </c>
      <c r="D196" s="11">
        <v>34</v>
      </c>
      <c r="E196" s="12">
        <f t="shared" si="13"/>
        <v>85000</v>
      </c>
      <c r="G196" s="15">
        <v>42166</v>
      </c>
    </row>
    <row r="197" spans="2:7" x14ac:dyDescent="0.25">
      <c r="B197" s="15">
        <v>42166</v>
      </c>
      <c r="C197" s="11">
        <v>378</v>
      </c>
      <c r="D197" s="11">
        <v>38</v>
      </c>
      <c r="E197" s="12">
        <f t="shared" si="13"/>
        <v>1436000</v>
      </c>
      <c r="G197" s="15">
        <v>42166</v>
      </c>
    </row>
    <row r="198" spans="2:7" x14ac:dyDescent="0.25">
      <c r="B198" s="15">
        <v>42166</v>
      </c>
      <c r="C198" s="11">
        <v>34</v>
      </c>
      <c r="D198" s="11">
        <v>31</v>
      </c>
      <c r="E198" s="12">
        <f t="shared" si="13"/>
        <v>105000</v>
      </c>
      <c r="G198" s="15">
        <v>42166</v>
      </c>
    </row>
    <row r="199" spans="2:7" x14ac:dyDescent="0.25">
      <c r="B199" s="15">
        <v>42166</v>
      </c>
      <c r="C199" s="11">
        <v>31</v>
      </c>
      <c r="D199" s="11">
        <v>31</v>
      </c>
      <c r="E199" s="12">
        <f t="shared" si="13"/>
        <v>96000</v>
      </c>
      <c r="G199" s="15">
        <v>42166</v>
      </c>
    </row>
    <row r="200" spans="2:7" x14ac:dyDescent="0.25">
      <c r="B200" s="15">
        <v>42166</v>
      </c>
      <c r="C200" s="11">
        <v>68</v>
      </c>
      <c r="D200" s="11">
        <v>36</v>
      </c>
      <c r="E200" s="12">
        <f t="shared" si="13"/>
        <v>244000</v>
      </c>
      <c r="G200" s="15">
        <v>42166</v>
      </c>
    </row>
    <row r="201" spans="2:7" x14ac:dyDescent="0.25">
      <c r="B201" s="15">
        <v>42166</v>
      </c>
      <c r="C201" s="11">
        <v>196</v>
      </c>
      <c r="D201" s="11">
        <v>36</v>
      </c>
      <c r="E201" s="12">
        <f t="shared" si="13"/>
        <v>705000</v>
      </c>
      <c r="G201" s="15">
        <v>42166</v>
      </c>
    </row>
    <row r="202" spans="2:7" x14ac:dyDescent="0.25">
      <c r="B202" s="15">
        <v>42166</v>
      </c>
      <c r="C202" s="11">
        <v>22</v>
      </c>
      <c r="D202" s="11">
        <v>32</v>
      </c>
      <c r="E202" s="12">
        <f t="shared" si="13"/>
        <v>70000</v>
      </c>
      <c r="F202" s="11">
        <v>3000</v>
      </c>
      <c r="G202" s="15">
        <v>42166</v>
      </c>
    </row>
    <row r="203" spans="2:7" x14ac:dyDescent="0.25">
      <c r="B203" s="15">
        <v>42166</v>
      </c>
      <c r="C203" s="11">
        <v>231</v>
      </c>
      <c r="D203" s="11">
        <v>38</v>
      </c>
      <c r="E203" s="12">
        <f t="shared" si="13"/>
        <v>877000</v>
      </c>
      <c r="G203" s="15">
        <v>42166</v>
      </c>
    </row>
    <row r="204" spans="2:7" x14ac:dyDescent="0.25">
      <c r="B204" s="15">
        <v>42166</v>
      </c>
      <c r="C204" s="11">
        <v>46</v>
      </c>
      <c r="D204" s="11">
        <v>32</v>
      </c>
      <c r="E204" s="12">
        <f t="shared" si="13"/>
        <v>147000</v>
      </c>
      <c r="G204" s="15">
        <v>42166</v>
      </c>
    </row>
    <row r="205" spans="2:7" x14ac:dyDescent="0.25">
      <c r="B205" s="15"/>
      <c r="F205" s="12"/>
      <c r="G205" s="15"/>
    </row>
    <row r="206" spans="2:7" x14ac:dyDescent="0.25">
      <c r="C206" s="14">
        <f>SUM(C193:C205)</f>
        <v>1346</v>
      </c>
      <c r="D206" s="14">
        <f>SUM(D193:D205)</f>
        <v>415</v>
      </c>
      <c r="E206" s="13">
        <f>SUM(E193:E205,F193:F205)</f>
        <v>4906000</v>
      </c>
      <c r="G206" s="15"/>
    </row>
    <row r="208" spans="2:7" x14ac:dyDescent="0.25">
      <c r="B208" s="15">
        <v>42167</v>
      </c>
      <c r="C208" s="20">
        <v>57</v>
      </c>
      <c r="D208" s="20">
        <v>32</v>
      </c>
      <c r="E208" s="12">
        <f t="shared" ref="E208:E214" si="14">FLOOR(C208*D208/10*1000,1000)</f>
        <v>182000</v>
      </c>
      <c r="G208" s="15">
        <v>42167</v>
      </c>
    </row>
    <row r="209" spans="2:7" x14ac:dyDescent="0.25">
      <c r="B209" s="15">
        <v>42167</v>
      </c>
      <c r="C209" s="20">
        <v>60</v>
      </c>
      <c r="D209" s="20">
        <v>32</v>
      </c>
      <c r="E209" s="12">
        <f t="shared" si="14"/>
        <v>192000</v>
      </c>
      <c r="G209" s="15">
        <v>42167</v>
      </c>
    </row>
    <row r="210" spans="2:7" x14ac:dyDescent="0.25">
      <c r="B210" s="15">
        <v>42167</v>
      </c>
      <c r="C210" s="20">
        <v>502</v>
      </c>
      <c r="D210" s="20">
        <v>38</v>
      </c>
      <c r="E210" s="12">
        <f t="shared" si="14"/>
        <v>1907000</v>
      </c>
      <c r="G210" s="15">
        <v>42167</v>
      </c>
    </row>
    <row r="211" spans="2:7" x14ac:dyDescent="0.25">
      <c r="B211" s="15">
        <v>42167</v>
      </c>
      <c r="C211" s="20">
        <v>41</v>
      </c>
      <c r="D211" s="20">
        <v>38</v>
      </c>
      <c r="E211" s="12">
        <f t="shared" si="14"/>
        <v>155000</v>
      </c>
      <c r="G211" s="15">
        <v>42167</v>
      </c>
    </row>
    <row r="212" spans="2:7" x14ac:dyDescent="0.25">
      <c r="B212" s="15">
        <v>42167</v>
      </c>
      <c r="C212" s="20">
        <v>19</v>
      </c>
      <c r="D212" s="20">
        <v>38</v>
      </c>
      <c r="E212" s="12">
        <f t="shared" si="14"/>
        <v>72000</v>
      </c>
      <c r="G212" s="15">
        <v>42167</v>
      </c>
    </row>
    <row r="213" spans="2:7" x14ac:dyDescent="0.25">
      <c r="B213" s="15">
        <v>42167</v>
      </c>
      <c r="C213" s="20">
        <v>52</v>
      </c>
      <c r="D213" s="20">
        <v>32</v>
      </c>
      <c r="E213" s="12">
        <f t="shared" si="14"/>
        <v>166000</v>
      </c>
      <c r="F213" s="11">
        <f>171000-166000</f>
        <v>5000</v>
      </c>
      <c r="G213" s="15">
        <v>42167</v>
      </c>
    </row>
    <row r="214" spans="2:7" x14ac:dyDescent="0.25">
      <c r="B214" s="15">
        <v>42167</v>
      </c>
      <c r="C214" s="20">
        <v>19</v>
      </c>
      <c r="D214" s="20">
        <v>33</v>
      </c>
      <c r="E214" s="12">
        <f t="shared" si="14"/>
        <v>62000</v>
      </c>
      <c r="G214" s="15">
        <v>42167</v>
      </c>
    </row>
    <row r="216" spans="2:7" x14ac:dyDescent="0.25">
      <c r="C216" s="14"/>
      <c r="D216" s="14"/>
      <c r="E216" s="13"/>
    </row>
    <row r="217" spans="2:7" x14ac:dyDescent="0.25">
      <c r="B217" s="15">
        <v>42168</v>
      </c>
      <c r="C217" s="11">
        <v>39</v>
      </c>
      <c r="D217" s="11">
        <v>32</v>
      </c>
      <c r="E217" s="12">
        <f t="shared" ref="E217:E232" si="15">FLOOR(C217*D217/10*1000,1000)</f>
        <v>124000</v>
      </c>
      <c r="G217" s="15">
        <v>42168</v>
      </c>
    </row>
    <row r="218" spans="2:7" x14ac:dyDescent="0.25">
      <c r="B218" s="15">
        <v>42168</v>
      </c>
      <c r="C218" s="14">
        <v>108</v>
      </c>
      <c r="D218" s="14">
        <v>38</v>
      </c>
      <c r="E218" s="12">
        <f t="shared" si="15"/>
        <v>410000</v>
      </c>
      <c r="G218" s="15">
        <v>42168</v>
      </c>
    </row>
    <row r="219" spans="2:7" x14ac:dyDescent="0.25">
      <c r="B219" s="15">
        <v>42168</v>
      </c>
      <c r="C219" s="11">
        <v>34</v>
      </c>
      <c r="D219" s="11">
        <v>38</v>
      </c>
      <c r="E219" s="12">
        <f t="shared" si="15"/>
        <v>129000</v>
      </c>
      <c r="G219" s="15">
        <v>42168</v>
      </c>
    </row>
    <row r="220" spans="2:7" x14ac:dyDescent="0.25">
      <c r="B220" s="15">
        <v>42168</v>
      </c>
      <c r="C220" s="14">
        <v>22</v>
      </c>
      <c r="D220" s="14">
        <v>35</v>
      </c>
      <c r="E220" s="12">
        <f t="shared" si="15"/>
        <v>77000</v>
      </c>
      <c r="G220" s="15">
        <v>42168</v>
      </c>
    </row>
    <row r="221" spans="2:7" x14ac:dyDescent="0.25">
      <c r="B221" s="15">
        <v>42168</v>
      </c>
      <c r="C221" s="11">
        <v>34</v>
      </c>
      <c r="D221" s="11">
        <v>36</v>
      </c>
      <c r="E221" s="12">
        <f t="shared" si="15"/>
        <v>122000</v>
      </c>
      <c r="G221" s="15">
        <v>42168</v>
      </c>
    </row>
    <row r="222" spans="2:7" x14ac:dyDescent="0.25">
      <c r="B222" s="15">
        <v>42168</v>
      </c>
      <c r="C222" s="14">
        <v>40</v>
      </c>
      <c r="D222" s="14">
        <v>32</v>
      </c>
      <c r="E222" s="12">
        <f t="shared" si="15"/>
        <v>128000</v>
      </c>
      <c r="G222" s="15">
        <v>42168</v>
      </c>
    </row>
    <row r="223" spans="2:7" x14ac:dyDescent="0.25">
      <c r="B223" s="15">
        <v>42168</v>
      </c>
      <c r="C223" s="11">
        <v>25</v>
      </c>
      <c r="D223" s="11">
        <v>38</v>
      </c>
      <c r="E223" s="12">
        <f t="shared" si="15"/>
        <v>95000</v>
      </c>
      <c r="G223" s="15">
        <v>42168</v>
      </c>
    </row>
    <row r="224" spans="2:7" x14ac:dyDescent="0.25">
      <c r="B224" s="15">
        <v>42168</v>
      </c>
      <c r="C224" s="14">
        <v>185</v>
      </c>
      <c r="D224" s="14">
        <v>31</v>
      </c>
      <c r="E224" s="12">
        <f t="shared" si="15"/>
        <v>573000</v>
      </c>
      <c r="G224" s="15">
        <v>42168</v>
      </c>
    </row>
    <row r="225" spans="2:8" x14ac:dyDescent="0.25">
      <c r="B225" s="15">
        <v>42168</v>
      </c>
      <c r="C225" s="11">
        <v>20</v>
      </c>
      <c r="D225" s="11">
        <v>34</v>
      </c>
      <c r="E225" s="12">
        <f t="shared" si="15"/>
        <v>68000</v>
      </c>
      <c r="G225" s="15">
        <v>42168</v>
      </c>
    </row>
    <row r="226" spans="2:8" x14ac:dyDescent="0.25">
      <c r="B226" s="15">
        <v>42168</v>
      </c>
      <c r="C226" s="14">
        <v>280</v>
      </c>
      <c r="D226" s="14">
        <v>34</v>
      </c>
      <c r="E226" s="12">
        <f t="shared" si="15"/>
        <v>952000</v>
      </c>
      <c r="G226" s="15">
        <v>42168</v>
      </c>
    </row>
    <row r="227" spans="2:8" x14ac:dyDescent="0.25">
      <c r="B227" s="15">
        <v>42168</v>
      </c>
      <c r="C227" s="11">
        <v>110</v>
      </c>
      <c r="D227" s="11">
        <v>38</v>
      </c>
      <c r="E227" s="12">
        <f t="shared" si="15"/>
        <v>418000</v>
      </c>
      <c r="G227" s="15">
        <v>42168</v>
      </c>
    </row>
    <row r="228" spans="2:8" x14ac:dyDescent="0.25">
      <c r="B228" s="15">
        <v>42168</v>
      </c>
      <c r="C228" s="14">
        <v>27</v>
      </c>
      <c r="D228" s="14">
        <v>38</v>
      </c>
      <c r="E228" s="12">
        <f t="shared" si="15"/>
        <v>102000</v>
      </c>
      <c r="G228" s="15">
        <v>42168</v>
      </c>
    </row>
    <row r="229" spans="2:8" x14ac:dyDescent="0.25">
      <c r="B229" s="15">
        <v>42168</v>
      </c>
      <c r="C229" s="11">
        <v>20</v>
      </c>
      <c r="D229" s="11">
        <v>34</v>
      </c>
      <c r="E229" s="12">
        <f t="shared" si="15"/>
        <v>68000</v>
      </c>
      <c r="G229" s="15">
        <v>42168</v>
      </c>
      <c r="H229" s="11" t="s">
        <v>34</v>
      </c>
    </row>
    <row r="230" spans="2:8" x14ac:dyDescent="0.25">
      <c r="B230" s="15">
        <v>42168</v>
      </c>
      <c r="C230" s="13">
        <v>42</v>
      </c>
      <c r="D230" s="13">
        <v>38</v>
      </c>
      <c r="E230" s="12">
        <f t="shared" si="15"/>
        <v>159000</v>
      </c>
      <c r="G230" s="15">
        <v>42168</v>
      </c>
    </row>
    <row r="231" spans="2:8" x14ac:dyDescent="0.25">
      <c r="B231" s="15">
        <v>42168</v>
      </c>
      <c r="C231" s="11">
        <v>72</v>
      </c>
      <c r="D231" s="11">
        <v>33</v>
      </c>
      <c r="E231" s="12">
        <f t="shared" si="15"/>
        <v>237000</v>
      </c>
      <c r="G231" s="15">
        <v>42168</v>
      </c>
    </row>
    <row r="232" spans="2:8" x14ac:dyDescent="0.25">
      <c r="B232" s="15">
        <v>42168</v>
      </c>
      <c r="C232" s="11">
        <v>36</v>
      </c>
      <c r="D232" s="11">
        <v>34</v>
      </c>
      <c r="E232" s="12">
        <f t="shared" si="15"/>
        <v>122000</v>
      </c>
      <c r="G232" s="15">
        <v>42168</v>
      </c>
    </row>
    <row r="233" spans="2:8" x14ac:dyDescent="0.25">
      <c r="C233" s="11">
        <f>SUM(C217:C232)</f>
        <v>1094</v>
      </c>
      <c r="D233" s="16"/>
      <c r="E233" s="12">
        <f>SUM(E217:E232)</f>
        <v>3784000</v>
      </c>
    </row>
    <row r="234" spans="2:8" ht="19.5" thickBot="1" x14ac:dyDescent="0.3"/>
    <row r="235" spans="2:8" x14ac:dyDescent="0.25">
      <c r="B235" s="21">
        <v>42169</v>
      </c>
      <c r="C235" s="22">
        <v>130</v>
      </c>
      <c r="D235" s="22">
        <v>38</v>
      </c>
      <c r="E235" s="23">
        <f t="shared" ref="E235:E254" si="16">FLOOR(C235*D235/10*1000,1000)</f>
        <v>494000</v>
      </c>
      <c r="F235" s="22"/>
      <c r="G235" s="24">
        <v>42169</v>
      </c>
    </row>
    <row r="236" spans="2:8" x14ac:dyDescent="0.25">
      <c r="B236" s="25">
        <v>42169</v>
      </c>
      <c r="C236" s="11">
        <v>63</v>
      </c>
      <c r="D236" s="11">
        <v>30</v>
      </c>
      <c r="E236" s="12">
        <f>_xlfn.CEILING.MATH(C236*D236/10*1000,1000)+1000</f>
        <v>190000</v>
      </c>
      <c r="G236" s="26">
        <v>42169</v>
      </c>
    </row>
    <row r="237" spans="2:8" x14ac:dyDescent="0.25">
      <c r="B237" s="25">
        <v>42169</v>
      </c>
      <c r="C237" s="11">
        <v>65</v>
      </c>
      <c r="D237" s="11">
        <v>30</v>
      </c>
      <c r="E237" s="12">
        <f t="shared" si="16"/>
        <v>195000</v>
      </c>
      <c r="G237" s="26">
        <v>42169</v>
      </c>
    </row>
    <row r="238" spans="2:8" x14ac:dyDescent="0.25">
      <c r="B238" s="25">
        <v>42169</v>
      </c>
      <c r="C238" s="11">
        <v>44</v>
      </c>
      <c r="D238" s="11">
        <v>30</v>
      </c>
      <c r="E238" s="12">
        <f t="shared" si="16"/>
        <v>132000</v>
      </c>
      <c r="G238" s="26">
        <v>42169</v>
      </c>
    </row>
    <row r="239" spans="2:8" x14ac:dyDescent="0.25">
      <c r="B239" s="25">
        <v>42169</v>
      </c>
      <c r="C239" s="11">
        <v>44</v>
      </c>
      <c r="D239" s="11">
        <v>31</v>
      </c>
      <c r="E239" s="12">
        <f t="shared" si="16"/>
        <v>136000</v>
      </c>
      <c r="G239" s="26">
        <v>42169</v>
      </c>
    </row>
    <row r="240" spans="2:8" x14ac:dyDescent="0.25">
      <c r="B240" s="25">
        <v>42169</v>
      </c>
      <c r="C240" s="11">
        <v>176</v>
      </c>
      <c r="D240" s="11">
        <v>38</v>
      </c>
      <c r="E240" s="12">
        <f t="shared" si="16"/>
        <v>668000</v>
      </c>
      <c r="G240" s="26">
        <v>42169</v>
      </c>
    </row>
    <row r="241" spans="2:7" x14ac:dyDescent="0.25">
      <c r="B241" s="25">
        <v>42169</v>
      </c>
      <c r="C241" s="11">
        <v>17</v>
      </c>
      <c r="D241" s="11">
        <v>30</v>
      </c>
      <c r="E241" s="12">
        <f t="shared" si="16"/>
        <v>51000</v>
      </c>
      <c r="G241" s="26">
        <v>42169</v>
      </c>
    </row>
    <row r="242" spans="2:7" x14ac:dyDescent="0.25">
      <c r="B242" s="25">
        <v>42169</v>
      </c>
      <c r="C242" s="11">
        <v>124</v>
      </c>
      <c r="D242" s="11">
        <v>27</v>
      </c>
      <c r="E242" s="12">
        <f t="shared" si="16"/>
        <v>334000</v>
      </c>
      <c r="G242" s="26">
        <v>42169</v>
      </c>
    </row>
    <row r="243" spans="2:7" x14ac:dyDescent="0.25">
      <c r="B243" s="25">
        <v>42169</v>
      </c>
      <c r="C243" s="11">
        <v>162</v>
      </c>
      <c r="D243" s="11">
        <v>37</v>
      </c>
      <c r="E243" s="12">
        <f>_xlfn.CEILING.MATH(C243*D243/10*1000,1000)</f>
        <v>600000</v>
      </c>
      <c r="G243" s="26">
        <v>42169</v>
      </c>
    </row>
    <row r="244" spans="2:7" x14ac:dyDescent="0.25">
      <c r="B244" s="25">
        <v>42169</v>
      </c>
      <c r="C244" s="11">
        <v>61</v>
      </c>
      <c r="D244" s="11">
        <v>30</v>
      </c>
      <c r="E244" s="12">
        <f t="shared" si="16"/>
        <v>183000</v>
      </c>
      <c r="G244" s="26">
        <v>42169</v>
      </c>
    </row>
    <row r="245" spans="2:7" x14ac:dyDescent="0.25">
      <c r="B245" s="25">
        <v>42169</v>
      </c>
      <c r="C245" s="11">
        <v>21</v>
      </c>
      <c r="D245" s="11">
        <v>31</v>
      </c>
      <c r="E245" s="12">
        <f t="shared" si="16"/>
        <v>65000</v>
      </c>
      <c r="G245" s="26">
        <v>42169</v>
      </c>
    </row>
    <row r="246" spans="2:7" x14ac:dyDescent="0.25">
      <c r="B246" s="25">
        <v>42169</v>
      </c>
      <c r="C246" s="11">
        <v>31</v>
      </c>
      <c r="D246" s="11">
        <v>38</v>
      </c>
      <c r="E246" s="12">
        <f t="shared" si="16"/>
        <v>117000</v>
      </c>
      <c r="G246" s="26">
        <v>42169</v>
      </c>
    </row>
    <row r="247" spans="2:7" x14ac:dyDescent="0.25">
      <c r="B247" s="25">
        <v>42169</v>
      </c>
      <c r="C247" s="11">
        <v>23</v>
      </c>
      <c r="D247" s="11">
        <v>33</v>
      </c>
      <c r="E247" s="12">
        <f t="shared" si="16"/>
        <v>75000</v>
      </c>
      <c r="G247" s="26">
        <v>42169</v>
      </c>
    </row>
    <row r="248" spans="2:7" x14ac:dyDescent="0.25">
      <c r="B248" s="25">
        <v>42169</v>
      </c>
      <c r="C248" s="11">
        <v>32</v>
      </c>
      <c r="D248" s="11">
        <v>32</v>
      </c>
      <c r="E248" s="12">
        <f t="shared" si="16"/>
        <v>102000</v>
      </c>
      <c r="G248" s="26">
        <v>42169</v>
      </c>
    </row>
    <row r="249" spans="2:7" x14ac:dyDescent="0.25">
      <c r="B249" s="25">
        <v>42169</v>
      </c>
      <c r="C249" s="11">
        <v>59</v>
      </c>
      <c r="D249" s="11">
        <v>34</v>
      </c>
      <c r="E249" s="12">
        <f t="shared" si="16"/>
        <v>200000</v>
      </c>
      <c r="G249" s="26">
        <v>42169</v>
      </c>
    </row>
    <row r="250" spans="2:7" x14ac:dyDescent="0.25">
      <c r="B250" s="25">
        <v>42169</v>
      </c>
      <c r="C250" s="11">
        <v>17</v>
      </c>
      <c r="D250" s="11">
        <v>34</v>
      </c>
      <c r="E250" s="12">
        <f t="shared" si="16"/>
        <v>57000</v>
      </c>
      <c r="G250" s="26">
        <v>42169</v>
      </c>
    </row>
    <row r="251" spans="2:7" x14ac:dyDescent="0.25">
      <c r="B251" s="25">
        <v>42169</v>
      </c>
      <c r="C251" s="11">
        <v>22</v>
      </c>
      <c r="D251" s="11">
        <v>38</v>
      </c>
      <c r="E251" s="12">
        <f t="shared" si="16"/>
        <v>83000</v>
      </c>
      <c r="G251" s="26">
        <v>42169</v>
      </c>
    </row>
    <row r="252" spans="2:7" x14ac:dyDescent="0.25">
      <c r="B252" s="25">
        <v>42169</v>
      </c>
      <c r="C252" s="11">
        <v>93</v>
      </c>
      <c r="D252" s="11">
        <v>37</v>
      </c>
      <c r="E252" s="12">
        <f t="shared" si="16"/>
        <v>344000</v>
      </c>
      <c r="G252" s="26">
        <v>42169</v>
      </c>
    </row>
    <row r="253" spans="2:7" x14ac:dyDescent="0.25">
      <c r="B253" s="25">
        <v>42169</v>
      </c>
      <c r="C253" s="11">
        <v>64</v>
      </c>
      <c r="D253" s="11">
        <v>31</v>
      </c>
      <c r="E253" s="12">
        <f t="shared" si="16"/>
        <v>198000</v>
      </c>
      <c r="G253" s="26">
        <v>42169</v>
      </c>
    </row>
    <row r="254" spans="2:7" x14ac:dyDescent="0.25">
      <c r="B254" s="25">
        <v>42169</v>
      </c>
      <c r="C254" s="11">
        <v>95</v>
      </c>
      <c r="D254" s="11">
        <v>33</v>
      </c>
      <c r="E254" s="12">
        <f t="shared" si="16"/>
        <v>313000</v>
      </c>
      <c r="G254" s="26">
        <v>42169</v>
      </c>
    </row>
    <row r="255" spans="2:7" ht="19.5" thickBot="1" x14ac:dyDescent="0.3">
      <c r="B255" s="27"/>
      <c r="C255" s="28">
        <f>SUM(C235:C254)</f>
        <v>1343</v>
      </c>
      <c r="D255" s="28"/>
      <c r="E255" s="29">
        <f>SUM(E235:E254)</f>
        <v>4537000</v>
      </c>
      <c r="F255" s="28"/>
      <c r="G255" s="30"/>
    </row>
    <row r="257" spans="2:7" x14ac:dyDescent="0.25">
      <c r="B257" s="15">
        <v>42170</v>
      </c>
      <c r="C257" s="11">
        <v>20</v>
      </c>
      <c r="D257" s="11">
        <v>30</v>
      </c>
      <c r="E257" s="12">
        <f t="shared" ref="E257:E274" si="17">FLOOR(C257*D257/10*1000,1000)</f>
        <v>60000</v>
      </c>
      <c r="G257" s="15">
        <v>42170</v>
      </c>
    </row>
    <row r="258" spans="2:7" x14ac:dyDescent="0.25">
      <c r="B258" s="15">
        <v>42170</v>
      </c>
      <c r="C258" s="11">
        <v>52</v>
      </c>
      <c r="D258" s="11">
        <v>34</v>
      </c>
      <c r="E258" s="12">
        <f t="shared" si="17"/>
        <v>176000</v>
      </c>
      <c r="G258" s="15">
        <v>42170</v>
      </c>
    </row>
    <row r="259" spans="2:7" x14ac:dyDescent="0.25">
      <c r="B259" s="15">
        <v>42170</v>
      </c>
      <c r="C259" s="11">
        <v>18</v>
      </c>
      <c r="D259" s="11">
        <v>34</v>
      </c>
      <c r="E259" s="12">
        <f t="shared" si="17"/>
        <v>61000</v>
      </c>
      <c r="G259" s="15">
        <v>42170</v>
      </c>
    </row>
    <row r="260" spans="2:7" x14ac:dyDescent="0.25">
      <c r="B260" s="15">
        <v>42170</v>
      </c>
      <c r="C260" s="11">
        <v>34</v>
      </c>
      <c r="D260" s="11">
        <v>31</v>
      </c>
      <c r="E260" s="12">
        <f t="shared" si="17"/>
        <v>105000</v>
      </c>
      <c r="G260" s="15">
        <v>42170</v>
      </c>
    </row>
    <row r="261" spans="2:7" x14ac:dyDescent="0.25">
      <c r="B261" s="15">
        <v>42170</v>
      </c>
      <c r="C261" s="11">
        <v>372</v>
      </c>
      <c r="D261" s="11">
        <v>33</v>
      </c>
      <c r="E261" s="12">
        <f t="shared" si="17"/>
        <v>1227000</v>
      </c>
      <c r="G261" s="15">
        <v>42170</v>
      </c>
    </row>
    <row r="262" spans="2:7" x14ac:dyDescent="0.25">
      <c r="B262" s="15">
        <v>42170</v>
      </c>
      <c r="C262" s="11">
        <v>38</v>
      </c>
      <c r="D262" s="11">
        <v>38</v>
      </c>
      <c r="E262" s="12">
        <f t="shared" si="17"/>
        <v>144000</v>
      </c>
      <c r="G262" s="15">
        <v>42170</v>
      </c>
    </row>
    <row r="263" spans="2:7" x14ac:dyDescent="0.25">
      <c r="B263" s="15">
        <v>42170</v>
      </c>
      <c r="C263" s="11">
        <v>20</v>
      </c>
      <c r="D263" s="11">
        <v>34</v>
      </c>
      <c r="E263" s="12">
        <f t="shared" si="17"/>
        <v>68000</v>
      </c>
      <c r="G263" s="15">
        <v>42170</v>
      </c>
    </row>
    <row r="264" spans="2:7" x14ac:dyDescent="0.25">
      <c r="B264" s="15">
        <v>42170</v>
      </c>
      <c r="C264" s="11">
        <v>29</v>
      </c>
      <c r="D264" s="11">
        <v>37</v>
      </c>
      <c r="E264" s="12">
        <f t="shared" si="17"/>
        <v>107000</v>
      </c>
      <c r="G264" s="15">
        <v>42170</v>
      </c>
    </row>
    <row r="265" spans="2:7" x14ac:dyDescent="0.25">
      <c r="B265" s="15">
        <v>42170</v>
      </c>
      <c r="C265" s="11">
        <v>30</v>
      </c>
      <c r="D265" s="11">
        <v>38</v>
      </c>
      <c r="E265" s="12">
        <f t="shared" si="17"/>
        <v>114000</v>
      </c>
      <c r="G265" s="15">
        <v>42170</v>
      </c>
    </row>
    <row r="266" spans="2:7" x14ac:dyDescent="0.25">
      <c r="B266" s="15">
        <v>42170</v>
      </c>
      <c r="C266" s="11">
        <v>24</v>
      </c>
      <c r="D266" s="11">
        <v>31</v>
      </c>
      <c r="E266" s="12">
        <f t="shared" si="17"/>
        <v>74000</v>
      </c>
      <c r="G266" s="15">
        <v>42170</v>
      </c>
    </row>
    <row r="267" spans="2:7" x14ac:dyDescent="0.25">
      <c r="B267" s="15">
        <v>42170</v>
      </c>
      <c r="C267" s="11">
        <v>17</v>
      </c>
      <c r="D267" s="11">
        <v>31</v>
      </c>
      <c r="E267" s="12">
        <f t="shared" si="17"/>
        <v>52000</v>
      </c>
      <c r="G267" s="15">
        <v>42170</v>
      </c>
    </row>
    <row r="268" spans="2:7" x14ac:dyDescent="0.25">
      <c r="B268" s="15">
        <v>42170</v>
      </c>
      <c r="C268" s="11">
        <v>28</v>
      </c>
      <c r="D268" s="11">
        <v>33</v>
      </c>
      <c r="E268" s="12">
        <f t="shared" si="17"/>
        <v>92000</v>
      </c>
      <c r="G268" s="15">
        <v>42170</v>
      </c>
    </row>
    <row r="269" spans="2:7" x14ac:dyDescent="0.25">
      <c r="B269" s="15">
        <v>42170</v>
      </c>
      <c r="C269" s="11">
        <v>75</v>
      </c>
      <c r="D269" s="11">
        <v>33</v>
      </c>
      <c r="E269" s="12">
        <f t="shared" si="17"/>
        <v>247000</v>
      </c>
      <c r="G269" s="15">
        <v>42170</v>
      </c>
    </row>
    <row r="270" spans="2:7" x14ac:dyDescent="0.25">
      <c r="B270" s="15">
        <v>42170</v>
      </c>
      <c r="C270" s="11">
        <v>100</v>
      </c>
      <c r="D270" s="11">
        <v>32</v>
      </c>
      <c r="E270" s="12">
        <f t="shared" si="17"/>
        <v>320000</v>
      </c>
      <c r="G270" s="15">
        <v>42170</v>
      </c>
    </row>
    <row r="271" spans="2:7" x14ac:dyDescent="0.25">
      <c r="B271" s="15">
        <v>42170</v>
      </c>
      <c r="C271" s="11">
        <v>32</v>
      </c>
      <c r="D271" s="11">
        <v>31</v>
      </c>
      <c r="E271" s="12">
        <f t="shared" si="17"/>
        <v>99000</v>
      </c>
      <c r="G271" s="15">
        <v>42170</v>
      </c>
    </row>
    <row r="272" spans="2:7" x14ac:dyDescent="0.25">
      <c r="B272" s="15">
        <v>42170</v>
      </c>
      <c r="C272" s="11">
        <v>29</v>
      </c>
      <c r="D272" s="11">
        <v>34</v>
      </c>
      <c r="E272" s="12">
        <f t="shared" si="17"/>
        <v>98000</v>
      </c>
      <c r="G272" s="15">
        <v>42170</v>
      </c>
    </row>
    <row r="273" spans="2:7" x14ac:dyDescent="0.25">
      <c r="B273" s="15">
        <v>42170</v>
      </c>
      <c r="C273" s="11">
        <v>39</v>
      </c>
      <c r="D273" s="11">
        <v>36</v>
      </c>
      <c r="E273" s="12">
        <f t="shared" si="17"/>
        <v>140000</v>
      </c>
      <c r="G273" s="15">
        <v>42170</v>
      </c>
    </row>
    <row r="274" spans="2:7" x14ac:dyDescent="0.25">
      <c r="B274" s="15">
        <v>42170</v>
      </c>
      <c r="C274" s="11">
        <v>103</v>
      </c>
      <c r="D274" s="11">
        <v>34</v>
      </c>
      <c r="E274" s="12">
        <f t="shared" si="17"/>
        <v>350000</v>
      </c>
      <c r="G274" s="15">
        <v>42170</v>
      </c>
    </row>
    <row r="276" spans="2:7" x14ac:dyDescent="0.25">
      <c r="C276" s="11">
        <f>SUM(C257:C274)</f>
        <v>1060</v>
      </c>
      <c r="E276" s="12">
        <f>SUM(E257:E274)</f>
        <v>3534000</v>
      </c>
    </row>
    <row r="277" spans="2:7" x14ac:dyDescent="0.25">
      <c r="E277" s="12">
        <f>E276+2930000+75000</f>
        <v>6539000</v>
      </c>
    </row>
  </sheetData>
  <sortState ref="B3:H212">
    <sortCondition ref="G3:G212"/>
  </sortState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E50"/>
  <sheetViews>
    <sheetView tabSelected="1" topLeftCell="A45" workbookViewId="0">
      <selection activeCell="D48" sqref="D48"/>
    </sheetView>
  </sheetViews>
  <sheetFormatPr defaultRowHeight="27" customHeight="1" x14ac:dyDescent="0.25"/>
  <cols>
    <col min="1" max="1" width="9.140625" style="44"/>
    <col min="2" max="2" width="15.7109375" style="47" customWidth="1"/>
    <col min="3" max="3" width="22.5703125" style="44" customWidth="1"/>
    <col min="4" max="4" width="19.140625" style="44" customWidth="1"/>
    <col min="5" max="5" width="21.140625" style="44" customWidth="1"/>
    <col min="6" max="16384" width="9.140625" style="44"/>
  </cols>
  <sheetData>
    <row r="2" spans="2:5" ht="27" customHeight="1" x14ac:dyDescent="0.25">
      <c r="B2" s="45" t="s">
        <v>1</v>
      </c>
      <c r="C2" s="11" t="s">
        <v>16</v>
      </c>
      <c r="D2" s="11" t="s">
        <v>3</v>
      </c>
      <c r="E2" s="11" t="s">
        <v>4</v>
      </c>
    </row>
    <row r="3" spans="2:5" ht="27" customHeight="1" x14ac:dyDescent="0.25">
      <c r="B3" s="46">
        <v>42155</v>
      </c>
      <c r="C3" s="11" t="s">
        <v>17</v>
      </c>
      <c r="D3" s="12">
        <v>30000</v>
      </c>
      <c r="E3" s="12">
        <f>D3</f>
        <v>30000</v>
      </c>
    </row>
    <row r="4" spans="2:5" ht="27" customHeight="1" x14ac:dyDescent="0.25">
      <c r="B4" s="46">
        <v>42155</v>
      </c>
      <c r="C4" s="11" t="s">
        <v>18</v>
      </c>
      <c r="D4" s="12">
        <v>6124000</v>
      </c>
      <c r="E4" s="12">
        <f>E3+D4</f>
        <v>6154000</v>
      </c>
    </row>
    <row r="5" spans="2:5" ht="27" customHeight="1" x14ac:dyDescent="0.25">
      <c r="B5" s="46">
        <v>42155</v>
      </c>
      <c r="C5" s="11" t="s">
        <v>19</v>
      </c>
      <c r="D5" s="12">
        <v>80000</v>
      </c>
      <c r="E5" s="12">
        <f>E4+D5</f>
        <v>6234000</v>
      </c>
    </row>
    <row r="6" spans="2:5" ht="27" customHeight="1" x14ac:dyDescent="0.25">
      <c r="B6" s="46">
        <v>42157</v>
      </c>
      <c r="C6" s="11" t="s">
        <v>20</v>
      </c>
      <c r="D6" s="12">
        <v>30000</v>
      </c>
      <c r="E6" s="12">
        <f t="shared" ref="E6:E20" si="0">E5+D6</f>
        <v>6264000</v>
      </c>
    </row>
    <row r="7" spans="2:5" ht="27" customHeight="1" x14ac:dyDescent="0.25">
      <c r="B7" s="46">
        <v>42157</v>
      </c>
      <c r="C7" s="11" t="s">
        <v>21</v>
      </c>
      <c r="D7" s="12">
        <v>190000</v>
      </c>
      <c r="E7" s="12">
        <f t="shared" si="0"/>
        <v>6454000</v>
      </c>
    </row>
    <row r="8" spans="2:5" ht="27" customHeight="1" x14ac:dyDescent="0.25">
      <c r="B8" s="46">
        <v>42158</v>
      </c>
      <c r="C8" s="11" t="s">
        <v>22</v>
      </c>
      <c r="D8" s="12">
        <v>20000</v>
      </c>
      <c r="E8" s="12">
        <f t="shared" si="0"/>
        <v>6474000</v>
      </c>
    </row>
    <row r="9" spans="2:5" ht="27" customHeight="1" x14ac:dyDescent="0.25">
      <c r="B9" s="46">
        <v>42158</v>
      </c>
      <c r="C9" s="11" t="s">
        <v>23</v>
      </c>
      <c r="D9" s="12">
        <v>500000</v>
      </c>
      <c r="E9" s="12">
        <f t="shared" si="0"/>
        <v>6974000</v>
      </c>
    </row>
    <row r="10" spans="2:5" ht="27" customHeight="1" x14ac:dyDescent="0.25">
      <c r="B10" s="46">
        <v>42158</v>
      </c>
      <c r="C10" s="11" t="s">
        <v>24</v>
      </c>
      <c r="D10" s="12">
        <v>4500000</v>
      </c>
      <c r="E10" s="12">
        <f t="shared" si="0"/>
        <v>11474000</v>
      </c>
    </row>
    <row r="11" spans="2:5" ht="27" customHeight="1" x14ac:dyDescent="0.25">
      <c r="B11" s="46">
        <v>42160</v>
      </c>
      <c r="C11" s="11" t="s">
        <v>25</v>
      </c>
      <c r="D11" s="12">
        <v>250000</v>
      </c>
      <c r="E11" s="12">
        <f t="shared" si="0"/>
        <v>11724000</v>
      </c>
    </row>
    <row r="12" spans="2:5" ht="27" customHeight="1" x14ac:dyDescent="0.25">
      <c r="B12" s="46">
        <v>42161</v>
      </c>
      <c r="C12" s="11" t="s">
        <v>26</v>
      </c>
      <c r="D12" s="12">
        <v>100000</v>
      </c>
      <c r="E12" s="12">
        <f t="shared" si="0"/>
        <v>11824000</v>
      </c>
    </row>
    <row r="13" spans="2:5" ht="27" customHeight="1" x14ac:dyDescent="0.25">
      <c r="B13" s="46">
        <v>42162</v>
      </c>
      <c r="C13" s="11" t="s">
        <v>27</v>
      </c>
      <c r="D13" s="12">
        <v>1000000</v>
      </c>
      <c r="E13" s="12">
        <f t="shared" si="0"/>
        <v>12824000</v>
      </c>
    </row>
    <row r="14" spans="2:5" ht="27" customHeight="1" x14ac:dyDescent="0.25">
      <c r="B14" s="46">
        <v>42163</v>
      </c>
      <c r="C14" s="11" t="s">
        <v>28</v>
      </c>
      <c r="D14" s="12">
        <v>23000</v>
      </c>
      <c r="E14" s="12">
        <f t="shared" si="0"/>
        <v>12847000</v>
      </c>
    </row>
    <row r="15" spans="2:5" ht="27" customHeight="1" x14ac:dyDescent="0.25">
      <c r="B15" s="46">
        <v>42164</v>
      </c>
      <c r="C15" s="11" t="s">
        <v>29</v>
      </c>
      <c r="D15" s="19">
        <v>5200000</v>
      </c>
      <c r="E15" s="12">
        <f t="shared" si="0"/>
        <v>18047000</v>
      </c>
    </row>
    <row r="16" spans="2:5" ht="27" customHeight="1" x14ac:dyDescent="0.25">
      <c r="B16" s="46">
        <v>42164</v>
      </c>
      <c r="C16" s="11" t="s">
        <v>29</v>
      </c>
      <c r="D16" s="19">
        <v>2500000</v>
      </c>
      <c r="E16" s="12">
        <f t="shared" si="0"/>
        <v>20547000</v>
      </c>
    </row>
    <row r="17" spans="2:5" ht="27" customHeight="1" x14ac:dyDescent="0.25">
      <c r="B17" s="46">
        <v>42167</v>
      </c>
      <c r="C17" s="11" t="s">
        <v>29</v>
      </c>
      <c r="D17" s="19">
        <v>2200000</v>
      </c>
      <c r="E17" s="12">
        <f t="shared" si="0"/>
        <v>22747000</v>
      </c>
    </row>
    <row r="18" spans="2:5" ht="27" customHeight="1" x14ac:dyDescent="0.25">
      <c r="B18" s="46">
        <v>42167</v>
      </c>
      <c r="C18" s="11" t="s">
        <v>30</v>
      </c>
      <c r="D18" s="19">
        <v>50000</v>
      </c>
      <c r="E18" s="12">
        <f t="shared" si="0"/>
        <v>22797000</v>
      </c>
    </row>
    <row r="19" spans="2:5" ht="27" customHeight="1" x14ac:dyDescent="0.25">
      <c r="B19" s="46">
        <v>42167</v>
      </c>
      <c r="C19" s="11" t="s">
        <v>24</v>
      </c>
      <c r="D19" s="19">
        <v>5100000</v>
      </c>
      <c r="E19" s="12">
        <f t="shared" si="0"/>
        <v>27897000</v>
      </c>
    </row>
    <row r="20" spans="2:5" ht="27" customHeight="1" x14ac:dyDescent="0.25">
      <c r="B20" s="46">
        <v>42168</v>
      </c>
      <c r="C20" s="11" t="s">
        <v>33</v>
      </c>
      <c r="D20" s="19">
        <v>1300000</v>
      </c>
      <c r="E20" s="12">
        <f t="shared" si="0"/>
        <v>29197000</v>
      </c>
    </row>
    <row r="21" spans="2:5" ht="27" customHeight="1" x14ac:dyDescent="0.25">
      <c r="B21" s="46">
        <v>42169</v>
      </c>
      <c r="C21" s="11" t="s">
        <v>36</v>
      </c>
      <c r="D21" s="19">
        <v>50000</v>
      </c>
      <c r="E21" s="12">
        <f t="shared" ref="E21" si="1">E20+D21</f>
        <v>29247000</v>
      </c>
    </row>
    <row r="22" spans="2:5" ht="27" customHeight="1" x14ac:dyDescent="0.25">
      <c r="B22" s="46">
        <v>42170</v>
      </c>
      <c r="C22" s="11" t="s">
        <v>37</v>
      </c>
      <c r="D22" s="19">
        <v>75000</v>
      </c>
      <c r="E22" s="12">
        <f t="shared" ref="E22:E34" si="2">E21+D22</f>
        <v>29322000</v>
      </c>
    </row>
    <row r="23" spans="2:5" ht="27" customHeight="1" x14ac:dyDescent="0.25">
      <c r="B23" s="46">
        <v>42171</v>
      </c>
      <c r="C23" s="11" t="s">
        <v>38</v>
      </c>
      <c r="D23" s="19">
        <v>7000</v>
      </c>
      <c r="E23" s="12">
        <f t="shared" si="2"/>
        <v>29329000</v>
      </c>
    </row>
    <row r="24" spans="2:5" ht="27" customHeight="1" x14ac:dyDescent="0.25">
      <c r="B24" s="46">
        <v>42171</v>
      </c>
      <c r="C24" s="11" t="s">
        <v>29</v>
      </c>
      <c r="D24" s="19">
        <v>5000000</v>
      </c>
      <c r="E24" s="12">
        <f t="shared" si="2"/>
        <v>34329000</v>
      </c>
    </row>
    <row r="25" spans="2:5" ht="27" customHeight="1" x14ac:dyDescent="0.25">
      <c r="B25" s="46">
        <v>42171</v>
      </c>
      <c r="C25" s="11" t="s">
        <v>39</v>
      </c>
      <c r="D25" s="19">
        <v>1440000</v>
      </c>
      <c r="E25" s="12">
        <f t="shared" si="2"/>
        <v>35769000</v>
      </c>
    </row>
    <row r="26" spans="2:5" ht="27" customHeight="1" x14ac:dyDescent="0.25">
      <c r="B26" s="46">
        <v>42172</v>
      </c>
      <c r="C26" s="11" t="s">
        <v>40</v>
      </c>
      <c r="D26" s="19">
        <v>88000</v>
      </c>
      <c r="E26" s="12">
        <f t="shared" si="2"/>
        <v>35857000</v>
      </c>
    </row>
    <row r="27" spans="2:5" ht="27" customHeight="1" x14ac:dyDescent="0.25">
      <c r="B27" s="46">
        <v>42173</v>
      </c>
      <c r="C27" s="11" t="s">
        <v>41</v>
      </c>
      <c r="D27" s="19">
        <v>37000</v>
      </c>
      <c r="E27" s="12">
        <f t="shared" si="2"/>
        <v>35894000</v>
      </c>
    </row>
    <row r="28" spans="2:5" ht="27" customHeight="1" x14ac:dyDescent="0.25">
      <c r="B28" s="46">
        <v>42173</v>
      </c>
      <c r="C28" s="11" t="s">
        <v>42</v>
      </c>
      <c r="D28" s="19">
        <v>40000</v>
      </c>
      <c r="E28" s="12">
        <f t="shared" si="2"/>
        <v>35934000</v>
      </c>
    </row>
    <row r="29" spans="2:5" ht="27" customHeight="1" x14ac:dyDescent="0.25">
      <c r="B29" s="46">
        <v>42173</v>
      </c>
      <c r="C29" s="11" t="s">
        <v>43</v>
      </c>
      <c r="D29" s="19">
        <v>105000</v>
      </c>
      <c r="E29" s="12">
        <f t="shared" si="2"/>
        <v>36039000</v>
      </c>
    </row>
    <row r="30" spans="2:5" ht="27" customHeight="1" x14ac:dyDescent="0.25">
      <c r="B30" s="46">
        <v>42173</v>
      </c>
      <c r="C30" s="11" t="s">
        <v>44</v>
      </c>
      <c r="D30" s="19">
        <v>10000</v>
      </c>
      <c r="E30" s="12">
        <f t="shared" si="2"/>
        <v>36049000</v>
      </c>
    </row>
    <row r="31" spans="2:5" ht="27" customHeight="1" x14ac:dyDescent="0.25">
      <c r="B31" s="46">
        <v>42173</v>
      </c>
      <c r="C31" s="11" t="s">
        <v>45</v>
      </c>
      <c r="D31" s="19">
        <v>49000</v>
      </c>
      <c r="E31" s="12">
        <f t="shared" si="2"/>
        <v>36098000</v>
      </c>
    </row>
    <row r="32" spans="2:5" ht="27" customHeight="1" x14ac:dyDescent="0.25">
      <c r="B32" s="46">
        <v>42174</v>
      </c>
      <c r="C32" s="11" t="s">
        <v>46</v>
      </c>
      <c r="D32" s="19">
        <v>9025000</v>
      </c>
      <c r="E32" s="12">
        <f t="shared" si="2"/>
        <v>45123000</v>
      </c>
    </row>
    <row r="33" spans="2:5" ht="27" customHeight="1" x14ac:dyDescent="0.25">
      <c r="B33" s="46">
        <v>42174</v>
      </c>
      <c r="C33" s="11" t="s">
        <v>47</v>
      </c>
      <c r="D33" s="19">
        <v>16600000</v>
      </c>
      <c r="E33" s="12">
        <f t="shared" si="2"/>
        <v>61723000</v>
      </c>
    </row>
    <row r="34" spans="2:5" ht="27" customHeight="1" x14ac:dyDescent="0.25">
      <c r="B34" s="46">
        <v>42174</v>
      </c>
      <c r="C34" s="11" t="s">
        <v>48</v>
      </c>
      <c r="D34" s="19">
        <v>10000</v>
      </c>
      <c r="E34" s="12">
        <f t="shared" si="2"/>
        <v>61733000</v>
      </c>
    </row>
    <row r="35" spans="2:5" ht="27" customHeight="1" x14ac:dyDescent="0.25">
      <c r="B35" s="46">
        <v>42174</v>
      </c>
      <c r="C35" s="11" t="s">
        <v>49</v>
      </c>
      <c r="D35" s="19">
        <v>200000</v>
      </c>
      <c r="E35" s="12">
        <f t="shared" ref="E35:E50" si="3">E34+D35</f>
        <v>61933000</v>
      </c>
    </row>
    <row r="36" spans="2:5" ht="27" customHeight="1" x14ac:dyDescent="0.25">
      <c r="B36" s="46">
        <v>42174</v>
      </c>
      <c r="C36" s="11" t="s">
        <v>50</v>
      </c>
      <c r="D36" s="19">
        <v>1960000</v>
      </c>
      <c r="E36" s="12">
        <f t="shared" si="3"/>
        <v>63893000</v>
      </c>
    </row>
    <row r="37" spans="2:5" ht="27" customHeight="1" x14ac:dyDescent="0.25">
      <c r="B37" s="46">
        <v>42174</v>
      </c>
      <c r="C37" s="11" t="s">
        <v>43</v>
      </c>
      <c r="D37" s="19">
        <v>115000</v>
      </c>
      <c r="E37" s="12">
        <f t="shared" si="3"/>
        <v>64008000</v>
      </c>
    </row>
    <row r="38" spans="2:5" ht="27" customHeight="1" x14ac:dyDescent="0.25">
      <c r="B38" s="46">
        <v>42174</v>
      </c>
      <c r="C38" s="11" t="s">
        <v>42</v>
      </c>
      <c r="D38" s="19">
        <v>40000</v>
      </c>
      <c r="E38" s="12">
        <f t="shared" si="3"/>
        <v>64048000</v>
      </c>
    </row>
    <row r="39" spans="2:5" ht="27" customHeight="1" x14ac:dyDescent="0.25">
      <c r="B39" s="46">
        <v>42175</v>
      </c>
      <c r="C39" s="11" t="s">
        <v>39</v>
      </c>
      <c r="D39" s="19">
        <v>1450000</v>
      </c>
      <c r="E39" s="12">
        <f t="shared" si="3"/>
        <v>65498000</v>
      </c>
    </row>
    <row r="40" spans="2:5" ht="27" customHeight="1" x14ac:dyDescent="0.25">
      <c r="B40" s="46">
        <v>42175</v>
      </c>
      <c r="C40" s="11" t="s">
        <v>51</v>
      </c>
      <c r="D40" s="19">
        <v>300000</v>
      </c>
      <c r="E40" s="12">
        <f t="shared" si="3"/>
        <v>65798000</v>
      </c>
    </row>
    <row r="41" spans="2:5" ht="27" customHeight="1" x14ac:dyDescent="0.25">
      <c r="B41" s="46">
        <v>42175</v>
      </c>
      <c r="C41" s="11" t="s">
        <v>52</v>
      </c>
      <c r="D41" s="19">
        <v>13750000</v>
      </c>
      <c r="E41" s="12">
        <f t="shared" si="3"/>
        <v>79548000</v>
      </c>
    </row>
    <row r="42" spans="2:5" ht="27" customHeight="1" x14ac:dyDescent="0.25">
      <c r="B42" s="46">
        <v>42175</v>
      </c>
      <c r="C42" s="11" t="s">
        <v>53</v>
      </c>
      <c r="D42" s="19">
        <v>10000</v>
      </c>
      <c r="E42" s="12">
        <f t="shared" si="3"/>
        <v>79558000</v>
      </c>
    </row>
    <row r="43" spans="2:5" ht="27" customHeight="1" x14ac:dyDescent="0.25">
      <c r="B43" s="46">
        <v>42175</v>
      </c>
      <c r="C43" s="11" t="s">
        <v>24</v>
      </c>
      <c r="D43" s="19">
        <v>5400000</v>
      </c>
      <c r="E43" s="12">
        <f t="shared" si="3"/>
        <v>84958000</v>
      </c>
    </row>
    <row r="44" spans="2:5" ht="27" customHeight="1" x14ac:dyDescent="0.25">
      <c r="B44" s="46">
        <v>42175</v>
      </c>
      <c r="C44" s="11" t="s">
        <v>54</v>
      </c>
      <c r="D44" s="19">
        <v>15000</v>
      </c>
      <c r="E44" s="12">
        <f t="shared" si="3"/>
        <v>84973000</v>
      </c>
    </row>
    <row r="45" spans="2:5" ht="27" customHeight="1" x14ac:dyDescent="0.25">
      <c r="B45" s="46"/>
      <c r="C45" s="11"/>
      <c r="D45" s="19"/>
      <c r="E45" s="12"/>
    </row>
    <row r="46" spans="2:5" ht="27" customHeight="1" x14ac:dyDescent="0.25">
      <c r="B46" s="46"/>
      <c r="C46" s="11"/>
      <c r="D46" s="19"/>
      <c r="E46" s="17"/>
    </row>
    <row r="47" spans="2:5" ht="27" customHeight="1" x14ac:dyDescent="0.25">
      <c r="B47" s="46"/>
      <c r="C47" s="11"/>
      <c r="D47" s="2">
        <v>27950000</v>
      </c>
      <c r="E47" s="12">
        <f>54125000+1294000</f>
        <v>55419000</v>
      </c>
    </row>
    <row r="48" spans="2:5" ht="27" customHeight="1" x14ac:dyDescent="0.25">
      <c r="B48" s="46"/>
      <c r="C48" s="11"/>
      <c r="D48" s="19">
        <v>16006000</v>
      </c>
      <c r="E48" s="12">
        <f>E47-D49</f>
        <v>11463000</v>
      </c>
    </row>
    <row r="49" spans="2:5" ht="27" customHeight="1" x14ac:dyDescent="0.25">
      <c r="B49" s="46"/>
      <c r="C49" s="11"/>
      <c r="D49" s="48">
        <f>SUM(D47:D48)</f>
        <v>43956000</v>
      </c>
      <c r="E49" s="12"/>
    </row>
    <row r="50" spans="2:5" ht="27" customHeight="1" x14ac:dyDescent="0.25">
      <c r="B50" s="46"/>
      <c r="C50" s="11"/>
      <c r="D50" s="19"/>
      <c r="E50" s="12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:E30"/>
  <sheetViews>
    <sheetView topLeftCell="A18" zoomScaleNormal="100" workbookViewId="0">
      <selection activeCell="D28" sqref="D26:D28"/>
    </sheetView>
  </sheetViews>
  <sheetFormatPr defaultColWidth="13.5703125" defaultRowHeight="18.75" x14ac:dyDescent="0.25"/>
  <cols>
    <col min="1" max="1" width="13.5703125" style="1"/>
    <col min="2" max="6" width="19.140625" style="1" customWidth="1"/>
    <col min="7" max="16384" width="13.5703125" style="1"/>
  </cols>
  <sheetData>
    <row r="2" spans="2:5" x14ac:dyDescent="0.25">
      <c r="B2" s="11" t="s">
        <v>1</v>
      </c>
      <c r="C2" s="11" t="s">
        <v>2</v>
      </c>
      <c r="D2" s="11" t="s">
        <v>3</v>
      </c>
      <c r="E2" s="11" t="s">
        <v>4</v>
      </c>
    </row>
    <row r="3" spans="2:5" x14ac:dyDescent="0.25">
      <c r="B3" s="15">
        <v>42154</v>
      </c>
      <c r="C3" s="11" t="s">
        <v>5</v>
      </c>
      <c r="D3" s="12">
        <v>4100000</v>
      </c>
      <c r="E3" s="12">
        <f>D3</f>
        <v>4100000</v>
      </c>
    </row>
    <row r="4" spans="2:5" x14ac:dyDescent="0.25">
      <c r="B4" s="15">
        <v>42155</v>
      </c>
      <c r="C4" s="11"/>
      <c r="D4" s="12">
        <v>11500000</v>
      </c>
      <c r="E4" s="12">
        <f>E3+D4</f>
        <v>15600000</v>
      </c>
    </row>
    <row r="5" spans="2:5" x14ac:dyDescent="0.25">
      <c r="B5" s="15">
        <v>42155</v>
      </c>
      <c r="C5" s="11"/>
      <c r="D5" s="12">
        <v>2000000</v>
      </c>
      <c r="E5" s="12">
        <f>E4+D5</f>
        <v>17600000</v>
      </c>
    </row>
    <row r="6" spans="2:5" x14ac:dyDescent="0.25">
      <c r="B6" s="15">
        <v>42156</v>
      </c>
      <c r="C6" s="11"/>
      <c r="D6" s="12">
        <v>5000000</v>
      </c>
      <c r="E6" s="12">
        <f t="shared" ref="E6:E30" si="0">E5+D6</f>
        <v>22600000</v>
      </c>
    </row>
    <row r="7" spans="2:5" x14ac:dyDescent="0.25">
      <c r="B7" s="15">
        <v>42157</v>
      </c>
      <c r="C7" s="11"/>
      <c r="D7" s="12">
        <v>3000000</v>
      </c>
      <c r="E7" s="12">
        <f t="shared" si="0"/>
        <v>25600000</v>
      </c>
    </row>
    <row r="8" spans="2:5" x14ac:dyDescent="0.25">
      <c r="B8" s="15">
        <v>42158</v>
      </c>
      <c r="C8" s="11"/>
      <c r="D8" s="12">
        <v>3000000</v>
      </c>
      <c r="E8" s="12">
        <f t="shared" si="0"/>
        <v>28600000</v>
      </c>
    </row>
    <row r="9" spans="2:5" x14ac:dyDescent="0.25">
      <c r="B9" s="15">
        <v>42158</v>
      </c>
      <c r="C9" s="11"/>
      <c r="D9" s="12">
        <v>15000000</v>
      </c>
      <c r="E9" s="12">
        <f t="shared" si="0"/>
        <v>43600000</v>
      </c>
    </row>
    <row r="10" spans="2:5" x14ac:dyDescent="0.25">
      <c r="B10" s="15">
        <v>42160</v>
      </c>
      <c r="C10" s="11"/>
      <c r="D10" s="12">
        <v>10000000</v>
      </c>
      <c r="E10" s="12">
        <f t="shared" si="0"/>
        <v>53600000</v>
      </c>
    </row>
    <row r="11" spans="2:5" x14ac:dyDescent="0.25">
      <c r="B11" s="15">
        <v>42160</v>
      </c>
      <c r="C11" s="11"/>
      <c r="D11" s="12">
        <v>5297000</v>
      </c>
      <c r="E11" s="12">
        <f t="shared" si="0"/>
        <v>58897000</v>
      </c>
    </row>
    <row r="12" spans="2:5" x14ac:dyDescent="0.25">
      <c r="B12" s="15">
        <v>42161</v>
      </c>
      <c r="C12" s="11"/>
      <c r="D12" s="12">
        <v>3000000</v>
      </c>
      <c r="E12" s="12">
        <f t="shared" si="0"/>
        <v>61897000</v>
      </c>
    </row>
    <row r="13" spans="2:5" x14ac:dyDescent="0.25">
      <c r="B13" s="15">
        <v>42162</v>
      </c>
      <c r="C13" s="11"/>
      <c r="D13" s="12">
        <v>4400000</v>
      </c>
      <c r="E13" s="12">
        <f t="shared" si="0"/>
        <v>66297000</v>
      </c>
    </row>
    <row r="14" spans="2:5" x14ac:dyDescent="0.25">
      <c r="B14" s="15">
        <v>42163</v>
      </c>
      <c r="C14" s="11"/>
      <c r="D14" s="12">
        <v>4000000</v>
      </c>
      <c r="E14" s="12">
        <f t="shared" si="0"/>
        <v>70297000</v>
      </c>
    </row>
    <row r="15" spans="2:5" x14ac:dyDescent="0.25">
      <c r="B15" s="15">
        <v>42164</v>
      </c>
      <c r="C15" s="11"/>
      <c r="D15" s="19">
        <v>5200000</v>
      </c>
      <c r="E15" s="12">
        <f t="shared" si="0"/>
        <v>75497000</v>
      </c>
    </row>
    <row r="16" spans="2:5" x14ac:dyDescent="0.25">
      <c r="B16" s="15">
        <v>42164</v>
      </c>
      <c r="C16" s="11"/>
      <c r="D16" s="19">
        <v>2500000</v>
      </c>
      <c r="E16" s="12">
        <f t="shared" si="0"/>
        <v>77997000</v>
      </c>
    </row>
    <row r="17" spans="2:5" x14ac:dyDescent="0.25">
      <c r="B17" s="15">
        <v>42165</v>
      </c>
      <c r="C17" s="11"/>
      <c r="D17" s="19">
        <v>3000000</v>
      </c>
      <c r="E17" s="12">
        <f t="shared" si="0"/>
        <v>80997000</v>
      </c>
    </row>
    <row r="18" spans="2:5" x14ac:dyDescent="0.25">
      <c r="B18" s="15">
        <v>42166</v>
      </c>
      <c r="C18" s="11" t="s">
        <v>15</v>
      </c>
      <c r="D18" s="19">
        <v>1300000</v>
      </c>
      <c r="E18" s="12">
        <f t="shared" si="0"/>
        <v>82297000</v>
      </c>
    </row>
    <row r="19" spans="2:5" x14ac:dyDescent="0.25">
      <c r="B19" s="15">
        <v>42166</v>
      </c>
      <c r="C19" s="11"/>
      <c r="D19" s="19">
        <v>4000000</v>
      </c>
      <c r="E19" s="12">
        <f t="shared" si="0"/>
        <v>86297000</v>
      </c>
    </row>
    <row r="20" spans="2:5" x14ac:dyDescent="0.25">
      <c r="B20" s="15">
        <v>42167</v>
      </c>
      <c r="C20" s="11"/>
      <c r="D20" s="19">
        <v>10000000</v>
      </c>
      <c r="E20" s="12">
        <f t="shared" si="0"/>
        <v>96297000</v>
      </c>
    </row>
    <row r="21" spans="2:5" x14ac:dyDescent="0.25">
      <c r="B21" s="15">
        <v>42168</v>
      </c>
      <c r="C21" s="11"/>
      <c r="D21" s="12">
        <v>10000000</v>
      </c>
      <c r="E21" s="12">
        <f t="shared" si="0"/>
        <v>106297000</v>
      </c>
    </row>
    <row r="22" spans="2:5" x14ac:dyDescent="0.25">
      <c r="B22" s="31">
        <v>42169</v>
      </c>
      <c r="D22" s="12">
        <v>10000000</v>
      </c>
      <c r="E22" s="12">
        <f t="shared" si="0"/>
        <v>116297000</v>
      </c>
    </row>
    <row r="23" spans="2:5" x14ac:dyDescent="0.25">
      <c r="B23" s="31">
        <v>42171</v>
      </c>
      <c r="D23" s="2">
        <v>10000000</v>
      </c>
      <c r="E23" s="12">
        <f t="shared" si="0"/>
        <v>126297000</v>
      </c>
    </row>
    <row r="24" spans="2:5" x14ac:dyDescent="0.25">
      <c r="B24" s="31">
        <v>42171</v>
      </c>
      <c r="D24" s="2">
        <v>8000000</v>
      </c>
      <c r="E24" s="12">
        <f t="shared" si="0"/>
        <v>134297000</v>
      </c>
    </row>
    <row r="25" spans="2:5" x14ac:dyDescent="0.25">
      <c r="B25" s="31">
        <v>42172</v>
      </c>
      <c r="D25" s="2">
        <v>10000000</v>
      </c>
      <c r="E25" s="12">
        <f t="shared" si="0"/>
        <v>144297000</v>
      </c>
    </row>
    <row r="26" spans="2:5" x14ac:dyDescent="0.25">
      <c r="B26" s="31">
        <v>42174</v>
      </c>
      <c r="D26" s="2">
        <v>33125000</v>
      </c>
      <c r="E26" s="12">
        <f t="shared" si="0"/>
        <v>177422000</v>
      </c>
    </row>
    <row r="27" spans="2:5" x14ac:dyDescent="0.25">
      <c r="B27" s="31">
        <v>42174</v>
      </c>
      <c r="D27" s="2">
        <v>11000000</v>
      </c>
      <c r="E27" s="12">
        <f t="shared" si="0"/>
        <v>188422000</v>
      </c>
    </row>
    <row r="28" spans="2:5" x14ac:dyDescent="0.25">
      <c r="B28" s="31">
        <v>42174</v>
      </c>
      <c r="D28" s="2">
        <v>10000000</v>
      </c>
      <c r="E28" s="12">
        <f t="shared" si="0"/>
        <v>198422000</v>
      </c>
    </row>
    <row r="29" spans="2:5" x14ac:dyDescent="0.25">
      <c r="B29" s="31">
        <v>42175</v>
      </c>
      <c r="D29" s="2">
        <v>18750000</v>
      </c>
      <c r="E29" s="12">
        <f t="shared" si="0"/>
        <v>217172000</v>
      </c>
    </row>
    <row r="30" spans="2:5" x14ac:dyDescent="0.25">
      <c r="B30" s="31">
        <v>42175</v>
      </c>
      <c r="D30" s="2">
        <v>10000000</v>
      </c>
      <c r="E30" s="12">
        <f t="shared" si="0"/>
        <v>227172000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Thanh toan che tuoi</vt:lpstr>
      <vt:lpstr>Che tuoi</vt:lpstr>
      <vt:lpstr>Thanh toan khac</vt:lpstr>
      <vt:lpstr>Khoan thu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SonVu</dc:creator>
  <cp:lastModifiedBy>Toujo</cp:lastModifiedBy>
  <dcterms:created xsi:type="dcterms:W3CDTF">2015-06-11T04:01:29Z</dcterms:created>
  <dcterms:modified xsi:type="dcterms:W3CDTF">2015-06-20T15:43:27Z</dcterms:modified>
</cp:coreProperties>
</file>